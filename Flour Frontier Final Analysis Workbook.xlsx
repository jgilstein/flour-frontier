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enmills-my.sharepoint.com/personal/jake_gilstein_genmills_com/Documents/Flour Frontiers/"/>
    </mc:Choice>
  </mc:AlternateContent>
  <xr:revisionPtr revIDLastSave="0" documentId="8_{BE2DFCED-9C29-483E-BDFD-EEF1A888E0EC}" xr6:coauthVersionLast="47" xr6:coauthVersionMax="47" xr10:uidLastSave="{00000000-0000-0000-0000-000000000000}"/>
  <bookViews>
    <workbookView xWindow="-110" yWindow="-110" windowWidth="19420" windowHeight="11500" firstSheet="5" activeTab="5" xr2:uid="{00000000-000D-0000-FFFF-FFFF00000000}"/>
  </bookViews>
  <sheets>
    <sheet name="README" sheetId="1" r:id="rId1"/>
    <sheet name="Top 5 Comparison" sheetId="2" r:id="rId2"/>
    <sheet name="Ranking Methodology" sheetId="3" r:id="rId3"/>
    <sheet name="All Metros" sheetId="4" r:id="rId4"/>
    <sheet name="Mill-WH Distances" sheetId="5" r:id="rId5"/>
    <sheet name="Metro Mill Distances" sheetId="6" r:id="rId6"/>
    <sheet name="Distributor Performance" sheetId="7" r:id="rId7"/>
    <sheet name="Territory Performance" sheetId="8" r:id="rId8"/>
    <sheet name="Region Performance" sheetId="9" r:id="rId9"/>
    <sheet name="Top Cities (Flour)" sheetId="10" r:id="rId10"/>
    <sheet name="Sub-Segment Mix" sheetId="11" r:id="rId11"/>
    <sheet name="Product Mix BS-DL-Custom" sheetId="12" r:id="rId12"/>
    <sheet name="Top Winners" sheetId="13" r:id="rId13"/>
    <sheet name="Top Losers" sheetId="14" r:id="rId14"/>
    <sheet name="Phased Plan" sheetId="15" r:id="rId15"/>
  </sheets>
  <calcPr calcId="0"/>
</workbook>
</file>

<file path=xl/sharedStrings.xml><?xml version="1.0" encoding="utf-8"?>
<sst xmlns="http://schemas.openxmlformats.org/spreadsheetml/2006/main" count="1117" uniqueCount="629">
  <si>
    <t>FLOUR FRONTIER · MASTER ANALYSIS WORKBOOK</t>
  </si>
  <si>
    <t>NAF FSI Flour 10 Year Allocation Study · Jake Gilstein NAF FSI Intern  · Summer 2026</t>
  </si>
  <si>
    <t>RANKING</t>
  </si>
  <si>
    <t>1 · Houston · GMI Index 49 · 8-9M lb opportunity gap</t>
  </si>
  <si>
    <t>2 · Dallas-Fort Worth · Execution gap inside healthy market (DFW market +5.3% YoY)</t>
  </si>
  <si>
    <t>3 · Atlanta · GFS already growing +122.5% YoY · double down</t>
  </si>
  <si>
    <t>4 · Tampa-St Pete · Fastest True 5 growth at GMI +13.9% YoY</t>
  </si>
  <si>
    <t>5 · Phoenix · Defense play · West region under pressure</t>
  </si>
  <si>
    <t>WORKBOOK CONTENTS:</t>
  </si>
  <si>
    <t xml:space="preserve">  1. README · this page</t>
  </si>
  <si>
    <t xml:space="preserve">  2. Top 5 Comparison · side by side battle card with NEW ranking</t>
  </si>
  <si>
    <t xml:space="preserve">  3. Ranking Methodology · 6 dimensions + 4 sensitivity lenses</t>
  </si>
  <si>
    <t xml:space="preserve">  4. All Metros · scored list with distances and AE assignments</t>
  </si>
  <si>
    <t xml:space="preserve">  5. Mill-WH Distances · pairwise miles matrix</t>
  </si>
  <si>
    <t xml:space="preserve">  6. Metro Mill Distances · 50 metros to nearest mill</t>
  </si>
  <si>
    <t xml:space="preserve">  7. Distributor Performance · TY vs LY by distributor</t>
  </si>
  <si>
    <t xml:space="preserve">  8. Territory Performance · TY vs LY by territory and AE</t>
  </si>
  <si>
    <t xml:space="preserve">  9. Region Performance · by region/CAS</t>
  </si>
  <si>
    <t xml:space="preserve"> 10. Top Cities (Flour) · cities ranked by EQCs</t>
  </si>
  <si>
    <t xml:space="preserve"> 11. Sub-Segment Mix · operator sub-segment breakdown</t>
  </si>
  <si>
    <t xml:space="preserve"> 12. Product Mix BS-DL-Custom · channel breakdown</t>
  </si>
  <si>
    <t xml:space="preserve"> 13. Top Winners · 30 biggest gainers</t>
  </si>
  <si>
    <t xml:space="preserve"> 14. Top Losers · 30 biggest decliners</t>
  </si>
  <si>
    <t xml:space="preserve"> 15. Phased Plan · prioritized rollout (no new mill capex required)</t>
  </si>
  <si>
    <t>DATA SOURCES:</t>
  </si>
  <si>
    <t xml:space="preserve">  · GMI Region Full and Account Full data (Tableau)</t>
  </si>
  <si>
    <t xml:space="preserve">  · Circana Supply Track Monthly Pro · TTM May 2025 to April 2026</t>
  </si>
  <si>
    <t xml:space="preserve">  · Feb 2026 Flour by DMA · GFS pull (DMA-level)</t>
  </si>
  <si>
    <t xml:space="preserve">  · US Census Bureau population and projection</t>
  </si>
  <si>
    <t>KEY: scoring 1-5 where 5 = best, 1 = worst</t>
  </si>
  <si>
    <t>TRUE 5 RANKING</t>
  </si>
  <si>
    <t>Rank</t>
  </si>
  <si>
    <t>Metro</t>
  </si>
  <si>
    <t>State</t>
  </si>
  <si>
    <t>Region</t>
  </si>
  <si>
    <t>Zone</t>
  </si>
  <si>
    <t>Pop (M)</t>
  </si>
  <si>
    <t>10yr CAGR</t>
  </si>
  <si>
    <t>Proj Growth</t>
  </si>
  <si>
    <t>Composite</t>
  </si>
  <si>
    <t>Houston</t>
  </si>
  <si>
    <t>TX</t>
  </si>
  <si>
    <t>South</t>
  </si>
  <si>
    <t>WEST-Mueting</t>
  </si>
  <si>
    <t>7.51M</t>
  </si>
  <si>
    <t>1.42%</t>
  </si>
  <si>
    <t>15.2%</t>
  </si>
  <si>
    <t>Dallas-Fort Worth</t>
  </si>
  <si>
    <t>8.1M</t>
  </si>
  <si>
    <t>1.74%</t>
  </si>
  <si>
    <t>18.5%</t>
  </si>
  <si>
    <t>Atlanta</t>
  </si>
  <si>
    <t>GA</t>
  </si>
  <si>
    <t>EAST-Tiemeyer</t>
  </si>
  <si>
    <t>6.3M</t>
  </si>
  <si>
    <t>1.28%</t>
  </si>
  <si>
    <t>13.8%</t>
  </si>
  <si>
    <t>Tampa-St Pete</t>
  </si>
  <si>
    <t>FL</t>
  </si>
  <si>
    <t>3.34M</t>
  </si>
  <si>
    <t>1.51%</t>
  </si>
  <si>
    <t>16.8%</t>
  </si>
  <si>
    <t>Phoenix</t>
  </si>
  <si>
    <t>AZ</t>
  </si>
  <si>
    <t>West</t>
  </si>
  <si>
    <t>5.1M</t>
  </si>
  <si>
    <t>1.82%</t>
  </si>
  <si>
    <t>20.4%</t>
  </si>
  <si>
    <t>RANK · WHY THIS ORDER</t>
  </si>
  <si>
    <t>#1 · Houston</t>
  </si>
  <si>
    <t>GMI Index 49 = 8-9M lb annual opportunity gap</t>
  </si>
  <si>
    <t>AE</t>
  </si>
  <si>
    <t>Gus Patrick</t>
  </si>
  <si>
    <t>Distributor</t>
  </si>
  <si>
    <t>Labatt/Sysco</t>
  </si>
  <si>
    <t>YoY EQC</t>
  </si>
  <si>
    <t>-4%</t>
  </si>
  <si>
    <t>Transport</t>
  </si>
  <si>
    <t>Intermodal+Truck</t>
  </si>
  <si>
    <t>#2 · Dallas-Fort Worth</t>
  </si>
  <si>
    <t>Healthy market (+5.3% mkt) · isolated Sysco execution failure</t>
  </si>
  <si>
    <t>Open / Melissa Magsalin</t>
  </si>
  <si>
    <t>Sysco-CTX/NTX</t>
  </si>
  <si>
    <t>-12%</t>
  </si>
  <si>
    <t>Truck via Arlington</t>
  </si>
  <si>
    <t>#3 · Atlanta</t>
  </si>
  <si>
    <t>GFS Atlanta already +122.5% YoY · double down on what works</t>
  </si>
  <si>
    <t>Josh Cohen</t>
  </si>
  <si>
    <t>GFS-Shepherdsville</t>
  </si>
  <si>
    <t>-6%</t>
  </si>
  <si>
    <t>Long-haul rail</t>
  </si>
  <si>
    <t>#4 · Tampa-St Pete</t>
  </si>
  <si>
    <t>GMI +13.9% YoY fastest True 5 · tollmilling candidate</t>
  </si>
  <si>
    <t>Jeffrey Santiago</t>
  </si>
  <si>
    <t>Cheney/Sysco-WC</t>
  </si>
  <si>
    <t>-8%</t>
  </si>
  <si>
    <t>Rail to Orlando WH</t>
  </si>
  <si>
    <t>#5 · Phoenix</t>
  </si>
  <si>
    <t>Defense play · West region -1.1pp share</t>
  </si>
  <si>
    <t>Shotsie Wilson</t>
  </si>
  <si>
    <t>Shamrock/Sysco-AZ</t>
  </si>
  <si>
    <t>3%</t>
  </si>
  <si>
    <t>Direct truck from Vernon</t>
  </si>
  <si>
    <t>TRUE 5 RANKING METHODOLOGY</t>
  </si>
  <si>
    <t>Dimension</t>
  </si>
  <si>
    <t>Weight</t>
  </si>
  <si>
    <t>HOU</t>
  </si>
  <si>
    <t>DFW</t>
  </si>
  <si>
    <t>ATL</t>
  </si>
  <si>
    <t>TPA</t>
  </si>
  <si>
    <t>PHX</t>
  </si>
  <si>
    <t>Winner</t>
  </si>
  <si>
    <t>Note</t>
  </si>
  <si>
    <t>Market Size (Pop)</t>
  </si>
  <si>
    <t>Total addressable demand today</t>
  </si>
  <si>
    <t>Current Growth (CAGR)</t>
  </si>
  <si>
    <t>Velocity right now</t>
  </si>
  <si>
    <t>Future Growth (10yr)</t>
  </si>
  <si>
    <t>Where the puck is going</t>
  </si>
  <si>
    <t>HQ Inflow Momentum</t>
  </si>
  <si>
    <t>DFW/ATL</t>
  </si>
  <si>
    <t>Corporate relocation signal</t>
  </si>
  <si>
    <t>Current Performance (YoY)</t>
  </si>
  <si>
    <t>Last 12 months EQC trend</t>
  </si>
  <si>
    <t>Cost to Serve (Mill Distance)</t>
  </si>
  <si>
    <t>Direct truck &gt; intermodal</t>
  </si>
  <si>
    <t>DMA Opportunity (Index)</t>
  </si>
  <si>
    <t>NEW: Index gap to national parity</t>
  </si>
  <si>
    <t>COMPOSITE (weighted)</t>
  </si>
  <si>
    <t>#1</t>
  </si>
  <si>
    <t>OPPORTUNITY · GMI Index 49 = 8-9M lb gap</t>
  </si>
  <si>
    <t>#2</t>
  </si>
  <si>
    <t>URGENCY · execution gap in healthy +5.3% market</t>
  </si>
  <si>
    <t>#3</t>
  </si>
  <si>
    <t>TRAJECTORY · GFS already +122.5% YoY</t>
  </si>
  <si>
    <t>#4</t>
  </si>
  <si>
    <t>GROWTH · fastest True 5 GMI +13.9% YoY</t>
  </si>
  <si>
    <t>#5</t>
  </si>
  <si>
    <t>DEFENSE · West region -1.1pp share</t>
  </si>
  <si>
    <t>4 SENSITIVITY LENSES · stress test the ranking</t>
  </si>
  <si>
    <t>By Urgency</t>
  </si>
  <si>
    <t>Biggest active bleed, largest TAM, fix this quarter</t>
  </si>
  <si>
    <t>By Opportunity</t>
  </si>
  <si>
    <t>GMI Index 49 = 8-9M lb accessible TAM gap, biggest in country</t>
  </si>
  <si>
    <t>By Trajectory</t>
  </si>
  <si>
    <t>GFS already +122.5% YoY · recommendation already working</t>
  </si>
  <si>
    <t>By Defense</t>
  </si>
  <si>
    <t>Proof point for Vernon mill in losing region · hold the line</t>
  </si>
  <si>
    <t>PUNCHLINE: Houston is the data-driven #1. DFW is the urgency #1. Both stories deserve airtime.</t>
  </si>
  <si>
    <t>Weight %</t>
  </si>
  <si>
    <t>Market Opportunity</t>
  </si>
  <si>
    <t xml:space="preserve">HQ Inflow </t>
  </si>
  <si>
    <t>DFW/TPA/PHX</t>
  </si>
  <si>
    <t>Current Perf (YoY)</t>
  </si>
  <si>
    <t>Transport Quality</t>
  </si>
  <si>
    <t>Future Growth 10yr</t>
  </si>
  <si>
    <t>Current CAGR</t>
  </si>
  <si>
    <t>COMPOSITE</t>
  </si>
  <si>
    <t>HOU  #1</t>
  </si>
  <si>
    <t>US Region</t>
  </si>
  <si>
    <t>GM Zone</t>
  </si>
  <si>
    <t>Score</t>
  </si>
  <si>
    <t>10yr CAGR (%)</t>
  </si>
  <si>
    <t>Proj Growth (%)</t>
  </si>
  <si>
    <t>HQ Inflow</t>
  </si>
  <si>
    <t>Top AE</t>
  </si>
  <si>
    <t>Top Distributor</t>
  </si>
  <si>
    <t>YoY EQC (%)</t>
  </si>
  <si>
    <t>Mill Dist (mi)</t>
  </si>
  <si>
    <t>WH Dist (mi)</t>
  </si>
  <si>
    <t>High</t>
  </si>
  <si>
    <t>Labatt-San Antonio, Sysco-Houston</t>
  </si>
  <si>
    <t>Truck+Intermodal</t>
  </si>
  <si>
    <t>Very High</t>
  </si>
  <si>
    <t>Sysco-Central TX, Sysco-North TX</t>
  </si>
  <si>
    <t>GFS-Shepherdsville, Sysco-Atlanta</t>
  </si>
  <si>
    <t>Intermodal Rail</t>
  </si>
  <si>
    <t>Cheney Brothers, Sysco-W FL</t>
  </si>
  <si>
    <t>Long-haul Rail</t>
  </si>
  <si>
    <t>Shamrock Foods, Sysco-Arizona</t>
  </si>
  <si>
    <t>Truck Direct</t>
  </si>
  <si>
    <t>Charlotte</t>
  </si>
  <si>
    <t>NC</t>
  </si>
  <si>
    <t>USF Fort Mill</t>
  </si>
  <si>
    <t>Nashville</t>
  </si>
  <si>
    <t>TN</t>
  </si>
  <si>
    <t>USF Middle Tennessee</t>
  </si>
  <si>
    <t>Denver</t>
  </si>
  <si>
    <t>CO</t>
  </si>
  <si>
    <t>Medium</t>
  </si>
  <si>
    <t>USF Denver South</t>
  </si>
  <si>
    <t>Seattle</t>
  </si>
  <si>
    <t>WA</t>
  </si>
  <si>
    <t>Yoel Sharabi</t>
  </si>
  <si>
    <t>USF Salem, Sysco-Seattle</t>
  </si>
  <si>
    <t>Boston</t>
  </si>
  <si>
    <t>MA</t>
  </si>
  <si>
    <t>Northeast</t>
  </si>
  <si>
    <t>Low</t>
  </si>
  <si>
    <t>Tim Cipriano</t>
  </si>
  <si>
    <t>USF Watertown</t>
  </si>
  <si>
    <t>Truck</t>
  </si>
  <si>
    <t>Minneapolis</t>
  </si>
  <si>
    <t>MN</t>
  </si>
  <si>
    <t>Midwest</t>
  </si>
  <si>
    <t>Open (Not Covered)</t>
  </si>
  <si>
    <t>USF Minnesota</t>
  </si>
  <si>
    <t>Buffalo</t>
  </si>
  <si>
    <t>NY</t>
  </si>
  <si>
    <t>Very Low</t>
  </si>
  <si>
    <t>Kevin Karbo</t>
  </si>
  <si>
    <t>Local</t>
  </si>
  <si>
    <t>Cleveland</t>
  </si>
  <si>
    <t>OH</t>
  </si>
  <si>
    <t>Dean Psyhogios</t>
  </si>
  <si>
    <t>USF Cleveland, GFS</t>
  </si>
  <si>
    <t>Detroit</t>
  </si>
  <si>
    <t>MI</t>
  </si>
  <si>
    <t>USF Detroit, GFS</t>
  </si>
  <si>
    <t>Mill ↔ Warehouse Distance Matrix (miles)</t>
  </si>
  <si>
    <t>Warehouse / Mill</t>
  </si>
  <si>
    <t>VN - Vernon</t>
  </si>
  <si>
    <t>GF - Great Falls</t>
  </si>
  <si>
    <t>KC - Kansas City</t>
  </si>
  <si>
    <t>AV - Avon</t>
  </si>
  <si>
    <t>BF - Buffalo</t>
  </si>
  <si>
    <t>Nearest Mill</t>
  </si>
  <si>
    <t>Min Dist</t>
  </si>
  <si>
    <t>UQ - Stockton, CA</t>
  </si>
  <si>
    <t>VN</t>
  </si>
  <si>
    <t>V4 - Arlington, TX</t>
  </si>
  <si>
    <t>KC</t>
  </si>
  <si>
    <t>AT - Independence, MO</t>
  </si>
  <si>
    <t>OO - Orlando, FL</t>
  </si>
  <si>
    <t>BF</t>
  </si>
  <si>
    <t>A6 - Mechanicsburg, PA</t>
  </si>
  <si>
    <t>S3 - Buffalo, NY</t>
  </si>
  <si>
    <t>Top 50 Metro → Mill Distance Matrix (miles)</t>
  </si>
  <si>
    <t>GF</t>
  </si>
  <si>
    <t>AV</t>
  </si>
  <si>
    <t>Nearest</t>
  </si>
  <si>
    <t>Dallas-Fort Worth, TX</t>
  </si>
  <si>
    <t>Houston, TX</t>
  </si>
  <si>
    <t>Atlanta, GA</t>
  </si>
  <si>
    <t>Phoenix, AZ</t>
  </si>
  <si>
    <t>Tampa-St Pete, FL</t>
  </si>
  <si>
    <t>Charlotte, NC</t>
  </si>
  <si>
    <t>Nashville, TN</t>
  </si>
  <si>
    <t>Seattle, WA</t>
  </si>
  <si>
    <t>Denver, CO</t>
  </si>
  <si>
    <t>Boston, MA</t>
  </si>
  <si>
    <t>Minneapolis, MN</t>
  </si>
  <si>
    <t>Detroit, MI</t>
  </si>
  <si>
    <t>Cleveland, OH</t>
  </si>
  <si>
    <t>Buffalo, NY</t>
  </si>
  <si>
    <t>TY EQCs</t>
  </si>
  <si>
    <t>LY EQCs</t>
  </si>
  <si>
    <t>Abs Change</t>
  </si>
  <si>
    <t>YoY %</t>
  </si>
  <si>
    <t>TY Cases</t>
  </si>
  <si>
    <t>Ops</t>
  </si>
  <si>
    <t>USF AUSTIN</t>
  </si>
  <si>
    <t>USF NY-METRO</t>
  </si>
  <si>
    <t>USF BOCA RATON</t>
  </si>
  <si>
    <t>USF WESTERN PA - GREENSBURG</t>
  </si>
  <si>
    <t>USF SALT LAKE</t>
  </si>
  <si>
    <t>USF PORTLAND</t>
  </si>
  <si>
    <t>USF LAS VEGAS</t>
  </si>
  <si>
    <t>USF INDIANAPOLIS</t>
  </si>
  <si>
    <t>USF MINNESOTA</t>
  </si>
  <si>
    <t>USF KNOXVILLE</t>
  </si>
  <si>
    <t>USF COLUMBIA</t>
  </si>
  <si>
    <t>USF LOS ANGELES</t>
  </si>
  <si>
    <t>USF FORT MILL</t>
  </si>
  <si>
    <t>USF SAN FRANCISCO</t>
  </si>
  <si>
    <t>USF RALEIGH</t>
  </si>
  <si>
    <t>USF DALLAS</t>
  </si>
  <si>
    <t>USF STREATOR</t>
  </si>
  <si>
    <t>USF CHICAGO</t>
  </si>
  <si>
    <t>USF TAMPA</t>
  </si>
  <si>
    <t>USF PORT ORANGE</t>
  </si>
  <si>
    <t>USF ST LOUIS</t>
  </si>
  <si>
    <t>USF WATERTOWN</t>
  </si>
  <si>
    <t>USF MEMPHIS</t>
  </si>
  <si>
    <t>USF KANSAS CITY</t>
  </si>
  <si>
    <t>USF OMAHA</t>
  </si>
  <si>
    <t>USF GRAND ISLAND</t>
  </si>
  <si>
    <t>USF IOWA</t>
  </si>
  <si>
    <t>SAVAL FOODS</t>
  </si>
  <si>
    <t>USF OKLAHOMA</t>
  </si>
  <si>
    <t>USF ATLANTA</t>
  </si>
  <si>
    <t>USF WISCONSIN</t>
  </si>
  <si>
    <t>USF SPOKANE</t>
  </si>
  <si>
    <t>USF CINCINNATI</t>
  </si>
  <si>
    <t>USF MANASSAS</t>
  </si>
  <si>
    <t>USF DENVER SOUTH</t>
  </si>
  <si>
    <t>USF ANCHORAGE</t>
  </si>
  <si>
    <t>USF SEATTLE</t>
  </si>
  <si>
    <t>USF PITTSON</t>
  </si>
  <si>
    <t>HANSEN DISTRIBUTION GROUP</t>
  </si>
  <si>
    <t>NICHOLAS &amp; CO INC</t>
  </si>
  <si>
    <t>USF SACRAMENTO</t>
  </si>
  <si>
    <t>USF RENO</t>
  </si>
  <si>
    <t>USF SALEM</t>
  </si>
  <si>
    <t>Territory (Region-Zone-AE-Geo)</t>
  </si>
  <si>
    <t>FSI-N3-KAIRYS-W PA-N OH</t>
  </si>
  <si>
    <t>FSI-WC5-PRICE-WA-OR</t>
  </si>
  <si>
    <t>FSI-N4-QUICK-METRO NY-N NJ</t>
  </si>
  <si>
    <t>FSI-WC4-ROWLEY-UT</t>
  </si>
  <si>
    <t>FSI-WC4-MAATOUK-NV</t>
  </si>
  <si>
    <t>FSI-WC1-QUON-MN-W WI-IA-NE</t>
  </si>
  <si>
    <t>FSI-S5-COLLAZO-FL</t>
  </si>
  <si>
    <t>FSI-S3-OPEN-NC-SC</t>
  </si>
  <si>
    <t>FSI-S3-MCLEOD-NC-SC</t>
  </si>
  <si>
    <t>FSI-S4-OPEN-E TN</t>
  </si>
  <si>
    <t>FSI-S1-OPEN-N TX-OK</t>
  </si>
  <si>
    <t>FSI-S5-RADA-FL</t>
  </si>
  <si>
    <t>FSI-WC3-CAMPANA-N IL</t>
  </si>
  <si>
    <t>FSI-N6-RUPP-KY</t>
  </si>
  <si>
    <t>FSI-S3-KEEVER-NC-SC</t>
  </si>
  <si>
    <t>FSI-WC4-DUPONT-S CA</t>
  </si>
  <si>
    <t>FSI-N6-METZGER-IN</t>
  </si>
  <si>
    <t>FSI-WC6-LAKELAND MARKETING-ID</t>
  </si>
  <si>
    <t>FSI-S6-HEPPNER-SE-SC</t>
  </si>
  <si>
    <t>FSI-S5-J FLORES-FL</t>
  </si>
  <si>
    <t>FSI-WC5-AFOLABI-N CA-NV</t>
  </si>
  <si>
    <t>FSI-N6-GLENN-IN-MI</t>
  </si>
  <si>
    <t>FSI-WC3-STEVISON-S IL-MO</t>
  </si>
  <si>
    <t>FSI-S2-YOUNG-W TN-N MS</t>
  </si>
  <si>
    <t>FSI-WC3-BODDIE-N-IL</t>
  </si>
  <si>
    <t>FSI-E5-JEFFREY SANTIAGO</t>
  </si>
  <si>
    <t>FSI-WC1-HERLAND-ND-SD</t>
  </si>
  <si>
    <t>FSI-WC4-SEO-S CA</t>
  </si>
  <si>
    <t>FSI-WC1-PETRMICHL-MN-W WI-IA-NE</t>
  </si>
  <si>
    <t>FSI-N4-KILLE-UPSTATE NY</t>
  </si>
  <si>
    <t>FSI-WC5-SAMSON-N CA-NV</t>
  </si>
  <si>
    <t>FSI-WC1-ZIMMERMAN-MN-W WI-IA-NE</t>
  </si>
  <si>
    <t>FSI-N4-OPEN-DELSON NY-N NJ</t>
  </si>
  <si>
    <t>FSI-WC3-WINDAU-N IL</t>
  </si>
  <si>
    <t>FSI-WC5-COSENS-N CA-NV</t>
  </si>
  <si>
    <t>FSI-N1-RETHERFORD-VA-WV</t>
  </si>
  <si>
    <t>FSI-WC2-BULGRIN-KS-MO</t>
  </si>
  <si>
    <t>FSI-S4-BESAND-C TN</t>
  </si>
  <si>
    <t>FSI-S5-BRALEY-FL</t>
  </si>
  <si>
    <t>RA-CONNOLLY</t>
  </si>
  <si>
    <t>FSI-S4-QUINN-C TN</t>
  </si>
  <si>
    <t>FSI-S6-CLARK-SE-SC TX</t>
  </si>
  <si>
    <t>FSI-S4-CHANIN-GA</t>
  </si>
  <si>
    <t>FSI-N6-POOLE-KY</t>
  </si>
  <si>
    <t>FSI-WC2-DICKEY-CO</t>
  </si>
  <si>
    <t>FSI-WC3-DOBBE-WI-N IL</t>
  </si>
  <si>
    <t>FSI-N1-WINNER-MD-DC</t>
  </si>
  <si>
    <t>FSI-WC6-BIG SKY FOOD-MT</t>
  </si>
  <si>
    <t>FSI-W REGIONAL ACCT CHAIN WEST SCOTT</t>
  </si>
  <si>
    <t>FSI-S6-BRANDON-SE-SC TX</t>
  </si>
  <si>
    <t>FSI-S5-CHAIVRE-FL</t>
  </si>
  <si>
    <t>FSI-N3-MULLIN-E PA-S NJ</t>
  </si>
  <si>
    <t>FSI-S4-CAPERTON-GA</t>
  </si>
  <si>
    <t>FSI-W6-RYAN</t>
  </si>
  <si>
    <t>RA-VAUGHAN</t>
  </si>
  <si>
    <t>FSI-S6-RICHARDS-SE-SC TX</t>
  </si>
  <si>
    <t>FSI-N1-THOMAS-MD-DC</t>
  </si>
  <si>
    <t>FSI-S3-NORTHCUTT-NC-SC</t>
  </si>
  <si>
    <t>FSI-WC2-ESKIJIAN-KS-MO</t>
  </si>
  <si>
    <t>FSI-WC6-PIERCE CARTWRIGHT-AK</t>
  </si>
  <si>
    <t>FSI-N1-DARNELL-VA-WV</t>
  </si>
  <si>
    <t>FSI-WC4-BUENROSTRO-CENTRAL CA</t>
  </si>
  <si>
    <t>FSI-N3-SCHNORR-IN-MI</t>
  </si>
  <si>
    <t>FSI-WC2-OPEN-CO</t>
  </si>
  <si>
    <t>FSI-S1-HOLLERN-N TX</t>
  </si>
  <si>
    <t>FSI-S3-DUGGAN-NC-SC</t>
  </si>
  <si>
    <t>FSI-S1-ARNOLD-OK</t>
  </si>
  <si>
    <t>FSI-WC4-LOPEZ EARNEST-S CA</t>
  </si>
  <si>
    <t>FSI-WC6-ACXION FOODSERVICE INC-HI</t>
  </si>
  <si>
    <t>FSI-E8-LYNN ALLEN</t>
  </si>
  <si>
    <t>FSI-N2-RODRIGUES-NEW ENGLAND-FCS N</t>
  </si>
  <si>
    <t>FSI-WC4-STANLEY-CENTRAL CA</t>
  </si>
  <si>
    <t>FSI-N1-BLOUNT-DC</t>
  </si>
  <si>
    <t>FSI-N1-WILLIAMS-VA-WV</t>
  </si>
  <si>
    <t>FSI-N4-S KING-UPSTATE NY</t>
  </si>
  <si>
    <t>FSI-N3-DE LA CRUZ-E PA-C PA</t>
  </si>
  <si>
    <t>FSI-W3-ELBARBARY-CA</t>
  </si>
  <si>
    <t>FSI-WC2-JONES-AZ</t>
  </si>
  <si>
    <t>FSI-WC4-CHILDS-S CA</t>
  </si>
  <si>
    <t>FSI-WC3-GUYTON-MO</t>
  </si>
  <si>
    <t>FSI-WC6-LAKELAND MARKETING-WA</t>
  </si>
  <si>
    <t>FSI-E2-BOOTIER</t>
  </si>
  <si>
    <t>FSI-W12-WILSON</t>
  </si>
  <si>
    <t>RA-ANDERS</t>
  </si>
  <si>
    <t>ISF-WILLIAM</t>
  </si>
  <si>
    <t>RA-FELLERS</t>
  </si>
  <si>
    <t>RA-MEHRTENS</t>
  </si>
  <si>
    <t>Region (Zone-CAS)</t>
  </si>
  <si>
    <t># Territories</t>
  </si>
  <si>
    <t>FSI-WC4-MCCAFFREY</t>
  </si>
  <si>
    <t>FSI-S5-VELOSA</t>
  </si>
  <si>
    <t>FSI-WC5-EVANS</t>
  </si>
  <si>
    <t>FSI-S3-MORGAN</t>
  </si>
  <si>
    <t>FSI-N4-SMITH</t>
  </si>
  <si>
    <t>FSI-WC1-PETTIT</t>
  </si>
  <si>
    <t>FSI-N3-WILLIAMS</t>
  </si>
  <si>
    <t>FSI-N6-BORON</t>
  </si>
  <si>
    <t>FSI-WC3-FULLER</t>
  </si>
  <si>
    <t>FSI-S4-ROBINSON</t>
  </si>
  <si>
    <t>FSI-S1-MAGSALIN</t>
  </si>
  <si>
    <t>FSI-S6-OPEN</t>
  </si>
  <si>
    <t>FSI-WC6-OLMSTEAD</t>
  </si>
  <si>
    <t>FSI-N1-SNIFFEN</t>
  </si>
  <si>
    <t>FSI-WC2-COURTNEY</t>
  </si>
  <si>
    <t>FSI-S2-HARBAUGH</t>
  </si>
  <si>
    <t>FSI-E5-SANTIAGO</t>
  </si>
  <si>
    <t>FSI-W REGIONAL ACCT CHAIN WEST</t>
  </si>
  <si>
    <t>FSI-N5-TRZCINSKI</t>
  </si>
  <si>
    <t>FSI-E8-ALLEN</t>
  </si>
  <si>
    <t>FSI-N2-MARCEAU</t>
  </si>
  <si>
    <t>ISF-WEST-WILLIAM</t>
  </si>
  <si>
    <t>City</t>
  </si>
  <si>
    <t>Top 3 Distributors</t>
  </si>
  <si>
    <t>Top Territory</t>
  </si>
  <si>
    <t>Top Region</t>
  </si>
  <si>
    <t>Austin</t>
  </si>
  <si>
    <t>Baldwin</t>
  </si>
  <si>
    <t>Las Vegas</t>
  </si>
  <si>
    <t>NV</t>
  </si>
  <si>
    <t>USF LAS VEGAS, NICHOLAS &amp; CO INC</t>
  </si>
  <si>
    <t>Redmond</t>
  </si>
  <si>
    <t>OR</t>
  </si>
  <si>
    <t>Flushing</t>
  </si>
  <si>
    <t>Louisville</t>
  </si>
  <si>
    <t>KY</t>
  </si>
  <si>
    <t>Lantana</t>
  </si>
  <si>
    <t>Maple Grove</t>
  </si>
  <si>
    <t>Portland</t>
  </si>
  <si>
    <t>Bloomington</t>
  </si>
  <si>
    <t>IN</t>
  </si>
  <si>
    <t>Chattanooga</t>
  </si>
  <si>
    <t>Clearwater</t>
  </si>
  <si>
    <t>Pittsburgh</t>
  </si>
  <si>
    <t>PA</t>
  </si>
  <si>
    <t>Winston Salem</t>
  </si>
  <si>
    <t>Baldwyn</t>
  </si>
  <si>
    <t>MS</t>
  </si>
  <si>
    <t>Rigby</t>
  </si>
  <si>
    <t>ID</t>
  </si>
  <si>
    <t>USF SALT LAKE, NICHOLAS &amp; CO INC</t>
  </si>
  <si>
    <t>Altoona</t>
  </si>
  <si>
    <t>Charleston</t>
  </si>
  <si>
    <t>SC</t>
  </si>
  <si>
    <t>Summerville</t>
  </si>
  <si>
    <t>Fort Wayne</t>
  </si>
  <si>
    <t>Rock Hill</t>
  </si>
  <si>
    <t>Wilmington</t>
  </si>
  <si>
    <t>Buffalo Grove</t>
  </si>
  <si>
    <t>IL</t>
  </si>
  <si>
    <t>Palm Bch Gdns</t>
  </si>
  <si>
    <t>Sioux Falls</t>
  </si>
  <si>
    <t>SD</t>
  </si>
  <si>
    <t>Grand Island</t>
  </si>
  <si>
    <t>NE</t>
  </si>
  <si>
    <t>Oakmont</t>
  </si>
  <si>
    <t>Ogden</t>
  </si>
  <si>
    <t>UT</t>
  </si>
  <si>
    <t>NICHOLAS &amp; CO INC, USF SALT LAKE</t>
  </si>
  <si>
    <t>Ithaca</t>
  </si>
  <si>
    <t>Saint Louis</t>
  </si>
  <si>
    <t>MO</t>
  </si>
  <si>
    <t>Des Moines</t>
  </si>
  <si>
    <t>IA</t>
  </si>
  <si>
    <t>Los Angeles</t>
  </si>
  <si>
    <t>CA</t>
  </si>
  <si>
    <t>Everett</t>
  </si>
  <si>
    <t>Orange</t>
  </si>
  <si>
    <t>Northbrook</t>
  </si>
  <si>
    <t>Salt Lake City</t>
  </si>
  <si>
    <t>Boca Raton</t>
  </si>
  <si>
    <t>Rock Falls</t>
  </si>
  <si>
    <t>Henderson</t>
  </si>
  <si>
    <t>Lake Mary</t>
  </si>
  <si>
    <t>USF BOCA RATON, USF PORT ORANGE</t>
  </si>
  <si>
    <t>Lawrence</t>
  </si>
  <si>
    <t>KS</t>
  </si>
  <si>
    <t>Virginia Beach</t>
  </si>
  <si>
    <t>VA</t>
  </si>
  <si>
    <t>San Diego</t>
  </si>
  <si>
    <t>Orem</t>
  </si>
  <si>
    <t>USF SALT LAKE, NICHOLAS &amp; CO INC, USF AUSTIN</t>
  </si>
  <si>
    <t>Raleigh</t>
  </si>
  <si>
    <t>Oakley</t>
  </si>
  <si>
    <t>Boynton Beach</t>
  </si>
  <si>
    <t>Madisonville</t>
  </si>
  <si>
    <t>Clayton</t>
  </si>
  <si>
    <t>Sub-Segment</t>
  </si>
  <si>
    <t>Share of TY %</t>
  </si>
  <si>
    <t>Casual Dining</t>
  </si>
  <si>
    <t>Quick Service</t>
  </si>
  <si>
    <t>Other</t>
  </si>
  <si>
    <t>Midscale Dining</t>
  </si>
  <si>
    <t>Fast Casual</t>
  </si>
  <si>
    <t>Bakery</t>
  </si>
  <si>
    <t>Resorts</t>
  </si>
  <si>
    <t>Manufacturer / Processor</t>
  </si>
  <si>
    <t>Grocery / Supermarkets</t>
  </si>
  <si>
    <t>Country Clubs / Golf Courses</t>
  </si>
  <si>
    <t>Non Grocery Retailer</t>
  </si>
  <si>
    <t>Food Halls</t>
  </si>
  <si>
    <t>Hotels</t>
  </si>
  <si>
    <t>Military</t>
  </si>
  <si>
    <t>Other Lodging</t>
  </si>
  <si>
    <t>Catering</t>
  </si>
  <si>
    <t>Casino and Gaming</t>
  </si>
  <si>
    <t>Fine Dining</t>
  </si>
  <si>
    <t>Government</t>
  </si>
  <si>
    <t>Food Trucks</t>
  </si>
  <si>
    <t>C-Stores</t>
  </si>
  <si>
    <t>Other Healthcare</t>
  </si>
  <si>
    <t>Bowling Centers</t>
  </si>
  <si>
    <t>Bed and Breakfast</t>
  </si>
  <si>
    <t>Bars and Nightclubs</t>
  </si>
  <si>
    <t>Colleges &amp; Universities</t>
  </si>
  <si>
    <t>K-12</t>
  </si>
  <si>
    <t>Ghost Restaurant</t>
  </si>
  <si>
    <t>Hospitals</t>
  </si>
  <si>
    <t>Distributors</t>
  </si>
  <si>
    <t>Corporate Dining (B and I)</t>
  </si>
  <si>
    <t>Colleges and Universities</t>
  </si>
  <si>
    <t>Fitness Centers</t>
  </si>
  <si>
    <t>Nursing Homes</t>
  </si>
  <si>
    <t>Museums and Art Locations</t>
  </si>
  <si>
    <t>Movie Theaters</t>
  </si>
  <si>
    <t>Other Healthcare Facilities</t>
  </si>
  <si>
    <t>Prisons</t>
  </si>
  <si>
    <t>Other Recreation</t>
  </si>
  <si>
    <t>Retirement Communities</t>
  </si>
  <si>
    <t>Stadiums / Ballparks</t>
  </si>
  <si>
    <t>Flour Segment</t>
  </si>
  <si>
    <t>TY CWT</t>
  </si>
  <si>
    <t>LY CWT</t>
  </si>
  <si>
    <t>Corporate Parent</t>
  </si>
  <si>
    <t>Territory</t>
  </si>
  <si>
    <t>% Change</t>
  </si>
  <si>
    <t>INDEPENDENT-CFS</t>
  </si>
  <si>
    <t>WEST-MUETING</t>
  </si>
  <si>
    <t>FSI-W2-NANCY MULLER | 0001001787</t>
  </si>
  <si>
    <t>UNIPRO-CFS</t>
  </si>
  <si>
    <t>EAST-TIEMEYER</t>
  </si>
  <si>
    <t>NATIONAL DISTRIBUTION-CASH N CARRY | 0001002933</t>
  </si>
  <si>
    <t>JOHNSON-NATIONAL</t>
  </si>
  <si>
    <t>FSI-NATIONAL-SEIDEL | 0001002126</t>
  </si>
  <si>
    <t>SYSCO-CFS</t>
  </si>
  <si>
    <t>FSI-N4-HERNANDEZ-METRO NY-N NJ | 0001002465</t>
  </si>
  <si>
    <t>BID OPERATORS-CFS</t>
  </si>
  <si>
    <t>FSI-NATIONAL-JACKSON | 0001001148</t>
  </si>
  <si>
    <t>FSI-E3-CHAN | 0001001928</t>
  </si>
  <si>
    <t>US FOODS</t>
  </si>
  <si>
    <t>FSI-N3-TAKACH-E PA-S NJ | 0001002461</t>
  </si>
  <si>
    <t>FSI-S5-RADA-FL | 0001002689</t>
  </si>
  <si>
    <t>FSI-WC5-AFOLABI-N CA-NV | 0001002763</t>
  </si>
  <si>
    <t>FSI-E2-BOOTIER | 0001003191</t>
  </si>
  <si>
    <t>FSI-S1-SHIPP-N TX | 0001002630</t>
  </si>
  <si>
    <t>FSI-W5-PSYHOGIOS | 0001000727</t>
  </si>
  <si>
    <t>FSI-W6-RYAN | 0001000726</t>
  </si>
  <si>
    <t>FSI-E6-CIPRIANO | 0001001697</t>
  </si>
  <si>
    <t>FSI-WC4-DUPONT-S CA | 0001002750</t>
  </si>
  <si>
    <t>PERFORMANCE FOOD GROUP</t>
  </si>
  <si>
    <t>FSI-S3-NORTHCUTT-NC-SC | 0001002494</t>
  </si>
  <si>
    <t>BELLISSIMO-CFS</t>
  </si>
  <si>
    <t>FSI-N1-BLOUNT-DC | 0001002469</t>
  </si>
  <si>
    <t>FSI-WC3-GUYTON-MO | 0001002521</t>
  </si>
  <si>
    <t>FSI-E8-LYNN ALLEN | 0001001926</t>
  </si>
  <si>
    <t>FS-UMW-CDT-WICK | 0001001431</t>
  </si>
  <si>
    <t>FSI-W1-SHARABI | 0001003204</t>
  </si>
  <si>
    <t>FSI-N2-ADAMS-NEW ENGLAND | 0001002455</t>
  </si>
  <si>
    <t>FSI-E4-KARBO | 0001001954</t>
  </si>
  <si>
    <t>FSI-WC5-KJELLESVIK-WA | 0001003005</t>
  </si>
  <si>
    <t>GFS-CFS</t>
  </si>
  <si>
    <t>FSI-S5-J FLORES-FL | 0001002490</t>
  </si>
  <si>
    <t>FS-E-CDT-KASSOFF | 0001001433</t>
  </si>
  <si>
    <t>IMA-CFS</t>
  </si>
  <si>
    <t>DIANAS BAKERY-CFS</t>
  </si>
  <si>
    <t>FSI-WC5-COSENS-N CA-NV | 0001002506</t>
  </si>
  <si>
    <t>FSI-S1-ARNOLD-OK | 0001002632</t>
  </si>
  <si>
    <t>FSI-S6-JONES-SE-SC TX | 0001002498</t>
  </si>
  <si>
    <t>FSI-N5-MICHAELS-MI | 0001001343</t>
  </si>
  <si>
    <t>FSI-E1-TIEMEYER | 0001001373</t>
  </si>
  <si>
    <t>FSI-S3-COSTANZO-NC-SC | 0001002783</t>
  </si>
  <si>
    <t>FSI-S4-MCCALLAR-GA | 0001002484</t>
  </si>
  <si>
    <t>FSI-S5-MINGEE-FL | 0001002547</t>
  </si>
  <si>
    <t>FSI-N6-METZGER-IN | 0001002482</t>
  </si>
  <si>
    <t>FSI-S6-GANSKY-SE-SC TX | 0001002499</t>
  </si>
  <si>
    <t>FSI-S6-NUSS-LA | 0001002865</t>
  </si>
  <si>
    <t>FSI-WC3-BODDIE-N-IL | 0001000850</t>
  </si>
  <si>
    <t>FSI-WC2-DICKEY-CO | 0001002633</t>
  </si>
  <si>
    <t>FSI-WC2-LEACH-NM | 0001000624</t>
  </si>
  <si>
    <t>FSI-WC4-ROWLEY-UT | 0001000629</t>
  </si>
  <si>
    <t>FSI-WC4-BUENROSTRO-CENTRAL CA | 0001002510</t>
  </si>
  <si>
    <t>FSI-NATIONAL-HEINEY | 0001002843</t>
  </si>
  <si>
    <t>FSI-S2-CELESTINO-AL | 0001002855</t>
  </si>
  <si>
    <t>PHASED ROLLOUT PLAN</t>
  </si>
  <si>
    <t>Phase order reflects priority · all phases work within current 5-mill, 5-warehouse network</t>
  </si>
  <si>
    <t>Phase</t>
  </si>
  <si>
    <t>Window</t>
  </si>
  <si>
    <t>Focus</t>
  </si>
  <si>
    <t>Specific Tasks</t>
  </si>
  <si>
    <t>Deliverable</t>
  </si>
  <si>
    <t>Owner</t>
  </si>
  <si>
    <t>1</t>
  </si>
  <si>
    <t>Next 90 Days · FY27 Q1</t>
  </si>
  <si>
    <t>Fix Texas Execution</t>
  </si>
  <si>
    <t>Pull Sysco-CTX and Sysco-NTX account histories. Quantify competitive vs program vs distributor consolidation. Stabilize top 5 customer losses.</t>
  </si>
  <si>
    <t>Root cause memo · 3 actions w/ owners</t>
  </si>
  <si>
    <t>Gus Patrick (Houston) + Open/Melissa Magsalin (DFW) · James Mueting</t>
  </si>
  <si>
    <t>2</t>
  </si>
  <si>
    <t>12 Months · FY27 Q1-Q4</t>
  </si>
  <si>
    <t>Win Southeast Corridor</t>
  </si>
  <si>
    <t>Deepen GFS-Shepherdsville (already +122.5% YoY). Evaluate proposed Atlanta warehouse cost-to-serve case. Florida toll-mill feasibility (no GM capex). Replicate Josh Cohen Nashville playbook across SE.</t>
  </si>
  <si>
    <t>Atlanta WH eval memo · FL toll-mill memo · SE playbook v1</t>
  </si>
  <si>
    <t>Josh Cohen + Dean Psyhogios (GFS-KY hub) + Jeffrey Santiago · GM Supply Chain + Melissa Tiemeyer</t>
  </si>
  <si>
    <t>3</t>
  </si>
  <si>
    <t>6-18 Months · FY27 Q2-Q4</t>
  </si>
  <si>
    <t>Build Houston Opportunity Case</t>
  </si>
  <si>
    <t>Quantify Houston GMI Index 49 gap (~8-9M lb annual opportunity). Map operator base by segment and channel. Build go-to-market plan in partnership with Labatt and Sysco-Houston.</t>
  </si>
  <si>
    <t>Houston opportunity sizing memo · GTM proposal · pilot scope</t>
  </si>
  <si>
    <t>Gus Patrick + Open/Melissa Magsalin · James Mueting</t>
  </si>
  <si>
    <t>4</t>
  </si>
  <si>
    <t>12-24 Months · FY27 Q4 - FY28</t>
  </si>
  <si>
    <t>Defend the West Without New Capex</t>
  </si>
  <si>
    <t>West region GMI losing 1.1pp share / down 2.5% volume per Circana. Phoenix is only positive True 5. Formalize playbook for Shotsie Wilson, Yoel Sharabi, Nancy Muller. Document Vernon mill direct-truck advantage. Lock multi-year Custom Label deals with TX/GA chain HQs to anchor existing capacity.</t>
  </si>
  <si>
    <t>West Zone Playbook v1 · Vernon cost-to-serve case · 3 Custom Label wins</t>
  </si>
  <si>
    <t>Shotsie Wilson + Yoel Sharabi + Nancy Muller · James Mueting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</si>
</sst>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color rgb="FF666666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F172A"/>
      <name val="Times New Roman"/>
      <family val="1"/>
    </font>
    <font>
      <b/>
      <sz val="12"/>
      <color rgb="FF16A34A"/>
      <name val="Times New Roman"/>
      <family val="1"/>
    </font>
    <font>
      <b/>
      <sz val="12"/>
      <color rgb="FFDC2626"/>
      <name val="Times New Roman"/>
      <family val="1"/>
    </font>
    <font>
      <b/>
      <sz val="10"/>
      <color rgb="FFFFFFFF"/>
      <name val="Times New Roman"/>
    </font>
    <font>
      <b/>
      <sz val="11"/>
      <color rgb="FFFFFFFF"/>
      <name val="Times New Roman"/>
    </font>
    <font>
      <b/>
      <sz val="10"/>
      <color rgb="FF1F2937"/>
      <name val="Times New Roman"/>
    </font>
    <font>
      <sz val="10"/>
      <color rgb="FF1F2937"/>
      <name val="Times New Roman"/>
    </font>
    <font>
      <sz val="10"/>
      <color rgb="FFFFFFFF"/>
      <name val="Times New Roman"/>
    </font>
    <font>
      <b/>
      <sz val="11"/>
      <color rgb="FFFBBF24"/>
      <name val="Times New Roman"/>
    </font>
    <font>
      <i/>
      <sz val="11"/>
      <color rgb="FF555555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CACA"/>
      </patternFill>
    </fill>
    <fill>
      <patternFill patternType="solid">
        <fgColor rgb="FFBBF7D0"/>
      </patternFill>
    </fill>
    <fill>
      <patternFill patternType="solid">
        <fgColor rgb="FFFEF08A"/>
      </patternFill>
    </fill>
    <fill>
      <patternFill patternType="solid">
        <fgColor rgb="FFE9D5FF"/>
      </patternFill>
    </fill>
    <fill>
      <patternFill patternType="solid">
        <fgColor rgb="FFDBEAFE"/>
      </patternFill>
    </fill>
    <fill>
      <patternFill patternType="solid">
        <fgColor rgb="FFC8102E"/>
      </patternFill>
    </fill>
    <fill>
      <patternFill patternType="solid">
        <fgColor rgb="FFF8F9FA"/>
      </patternFill>
    </fill>
    <fill>
      <patternFill patternType="solid">
        <fgColor rgb="FF1A2332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16A34A"/>
      </patternFill>
    </fill>
    <fill>
      <patternFill patternType="solid">
        <fgColor rgb="FF3B82F6"/>
      </patternFill>
    </fill>
    <fill>
      <patternFill patternType="solid">
        <fgColor rgb="FFFBBF24"/>
      </patternFill>
    </fill>
    <fill>
      <patternFill patternType="solid">
        <fgColor rgb="FFA855F7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A2332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E55A3C"/>
        <bgColor indexed="64"/>
      </patternFill>
    </fill>
    <fill>
      <patternFill patternType="solid">
        <fgColor rgb="FFFBBF24"/>
        <bgColor indexed="64"/>
      </patternFill>
    </fill>
    <fill>
      <patternFill patternType="solid">
        <fgColor rgb="FF3B82F6"/>
        <bgColor indexed="64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thin">
        <color rgb="FFCBD5E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9" fontId="1" fillId="0" borderId="0"/>
  </cellStyleXfs>
  <cellXfs count="84">
    <xf numFmtId="0" fontId="0" fillId="0" borderId="0" xfId="0"/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5" fillId="14" borderId="0" xfId="0" applyFont="1" applyFill="1" applyAlignment="1">
      <alignment vertical="center"/>
    </xf>
    <xf numFmtId="0" fontId="3" fillId="18" borderId="0" xfId="0" applyFont="1" applyFill="1" applyAlignment="1">
      <alignment vertical="center"/>
    </xf>
    <xf numFmtId="0" fontId="3" fillId="19" borderId="0" xfId="0" applyFont="1" applyFill="1" applyAlignment="1">
      <alignment vertical="center"/>
    </xf>
    <xf numFmtId="0" fontId="3" fillId="20" borderId="0" xfId="0" applyFont="1" applyFill="1" applyAlignment="1">
      <alignment vertical="center"/>
    </xf>
    <xf numFmtId="0" fontId="3" fillId="21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9" fontId="3" fillId="0" borderId="0" xfId="1" applyFont="1" applyAlignment="1">
      <alignment horizontal="center" vertical="center"/>
    </xf>
    <xf numFmtId="0" fontId="13" fillId="22" borderId="4" xfId="0" applyFont="1" applyFill="1" applyBorder="1" applyAlignment="1">
      <alignment horizontal="center" vertical="center" wrapText="1" readingOrder="1"/>
    </xf>
    <xf numFmtId="0" fontId="14" fillId="22" borderId="4" xfId="0" applyFont="1" applyFill="1" applyBorder="1" applyAlignment="1">
      <alignment horizontal="left" vertical="center" wrapText="1" readingOrder="1"/>
    </xf>
    <xf numFmtId="0" fontId="15" fillId="23" borderId="5" xfId="0" applyFont="1" applyFill="1" applyBorder="1" applyAlignment="1">
      <alignment horizontal="center" vertical="center" wrapText="1" readingOrder="1"/>
    </xf>
    <xf numFmtId="9" fontId="16" fillId="23" borderId="5" xfId="0" applyNumberFormat="1" applyFont="1" applyFill="1" applyBorder="1" applyAlignment="1">
      <alignment horizontal="center" vertical="center" wrapText="1" readingOrder="1"/>
    </xf>
    <xf numFmtId="0" fontId="17" fillId="24" borderId="5" xfId="0" applyFont="1" applyFill="1" applyBorder="1" applyAlignment="1">
      <alignment horizontal="center" vertical="center" wrapText="1" readingOrder="1"/>
    </xf>
    <xf numFmtId="0" fontId="17" fillId="25" borderId="5" xfId="0" applyFont="1" applyFill="1" applyBorder="1" applyAlignment="1">
      <alignment horizontal="center" vertical="center" wrapText="1" readingOrder="1"/>
    </xf>
    <xf numFmtId="0" fontId="17" fillId="26" borderId="5" xfId="0" applyFont="1" applyFill="1" applyBorder="1" applyAlignment="1">
      <alignment horizontal="center" vertical="center" wrapText="1" readingOrder="1"/>
    </xf>
    <xf numFmtId="0" fontId="17" fillId="27" borderId="5" xfId="0" applyFont="1" applyFill="1" applyBorder="1" applyAlignment="1">
      <alignment horizontal="center" vertical="center" wrapText="1" readingOrder="1"/>
    </xf>
    <xf numFmtId="0" fontId="16" fillId="23" borderId="5" xfId="0" applyFont="1" applyFill="1" applyBorder="1" applyAlignment="1">
      <alignment horizontal="center" vertical="center" wrapText="1" readingOrder="1"/>
    </xf>
    <xf numFmtId="0" fontId="15" fillId="23" borderId="6" xfId="0" applyFont="1" applyFill="1" applyBorder="1" applyAlignment="1">
      <alignment horizontal="center" vertical="center" wrapText="1" readingOrder="1"/>
    </xf>
    <xf numFmtId="9" fontId="16" fillId="23" borderId="6" xfId="0" applyNumberFormat="1" applyFont="1" applyFill="1" applyBorder="1" applyAlignment="1">
      <alignment horizontal="center" vertical="center" wrapText="1" readingOrder="1"/>
    </xf>
    <xf numFmtId="0" fontId="17" fillId="18" borderId="6" xfId="0" applyFont="1" applyFill="1" applyBorder="1" applyAlignment="1">
      <alignment horizontal="center" vertical="center" wrapText="1" readingOrder="1"/>
    </xf>
    <xf numFmtId="0" fontId="17" fillId="25" borderId="6" xfId="0" applyFont="1" applyFill="1" applyBorder="1" applyAlignment="1">
      <alignment horizontal="center" vertical="center" wrapText="1" readingOrder="1"/>
    </xf>
    <xf numFmtId="0" fontId="17" fillId="27" borderId="6" xfId="0" applyFont="1" applyFill="1" applyBorder="1" applyAlignment="1">
      <alignment horizontal="center" vertical="center" wrapText="1" readingOrder="1"/>
    </xf>
    <xf numFmtId="0" fontId="16" fillId="23" borderId="6" xfId="0" applyFont="1" applyFill="1" applyBorder="1" applyAlignment="1">
      <alignment horizontal="center" vertical="center" wrapText="1" readingOrder="1"/>
    </xf>
    <xf numFmtId="0" fontId="17" fillId="26" borderId="6" xfId="0" applyFont="1" applyFill="1" applyBorder="1" applyAlignment="1">
      <alignment horizontal="center" vertical="center" wrapText="1" readingOrder="1"/>
    </xf>
    <xf numFmtId="0" fontId="17" fillId="24" borderId="6" xfId="0" applyFont="1" applyFill="1" applyBorder="1" applyAlignment="1">
      <alignment horizontal="center" vertical="center" wrapText="1" readingOrder="1"/>
    </xf>
    <xf numFmtId="0" fontId="18" fillId="22" borderId="6" xfId="0" applyFont="1" applyFill="1" applyBorder="1" applyAlignment="1">
      <alignment horizontal="center" vertical="center" wrapText="1" readingOrder="1"/>
    </xf>
    <xf numFmtId="9" fontId="18" fillId="22" borderId="6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9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/>
    <xf numFmtId="0" fontId="2" fillId="8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3" xfId="0" applyBorder="1"/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workbookViewId="0">
      <selection activeCell="A32" sqref="A32"/>
    </sheetView>
  </sheetViews>
  <sheetFormatPr defaultRowHeight="15.5" x14ac:dyDescent="0.35"/>
  <cols>
    <col min="1" max="1" width="95" style="1" customWidth="1"/>
    <col min="2" max="3" width="8.7265625" style="1" customWidth="1"/>
    <col min="4" max="16384" width="8.7265625" style="1"/>
  </cols>
  <sheetData>
    <row r="1" spans="1:1" ht="21" customHeight="1" x14ac:dyDescent="0.35">
      <c r="A1" s="3" t="s">
        <v>0</v>
      </c>
    </row>
    <row r="2" spans="1:1" x14ac:dyDescent="0.35">
      <c r="A2" s="72" t="s">
        <v>1</v>
      </c>
    </row>
    <row r="3" spans="1:1" x14ac:dyDescent="0.35">
      <c r="A3" s="73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ht="15.5" customHeight="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73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73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73" t="s">
        <v>29</v>
      </c>
    </row>
    <row r="32" spans="1:1" ht="15.5" customHeight="1" x14ac:dyDescent="0.35">
      <c r="A32" s="74"/>
    </row>
    <row r="33" spans="1:1" x14ac:dyDescent="0.35">
      <c r="A33" s="74"/>
    </row>
    <row r="34" spans="1:1" x14ac:dyDescent="0.35">
      <c r="A34" s="74"/>
    </row>
    <row r="35" spans="1:1" x14ac:dyDescent="0.35">
      <c r="A35" s="74"/>
    </row>
    <row r="39" spans="1:1" ht="15.5" customHeight="1" x14ac:dyDescent="0.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B24" sqref="B24"/>
    </sheetView>
  </sheetViews>
  <sheetFormatPr defaultRowHeight="14.5" x14ac:dyDescent="0.35"/>
  <cols>
    <col min="1" max="1" width="22.08984375" customWidth="1"/>
    <col min="2" max="2" width="35.6328125" customWidth="1"/>
    <col min="3" max="3" width="22.1796875" customWidth="1"/>
    <col min="4" max="5" width="30" customWidth="1"/>
    <col min="6" max="6" width="10" customWidth="1"/>
    <col min="7" max="7" width="12" customWidth="1"/>
    <col min="8" max="8" width="14" customWidth="1"/>
    <col min="9" max="9" width="12" customWidth="1"/>
  </cols>
  <sheetData>
    <row r="1" spans="1:9" ht="21" customHeight="1" x14ac:dyDescent="0.35">
      <c r="A1" s="77" t="s">
        <v>30</v>
      </c>
      <c r="B1" s="76"/>
      <c r="C1" s="76"/>
      <c r="D1" s="76"/>
      <c r="E1" s="76"/>
      <c r="F1" s="76"/>
      <c r="G1" s="76"/>
      <c r="H1" s="76"/>
      <c r="I1" s="76"/>
    </row>
    <row r="2" spans="1:9" ht="15" customHeight="1" x14ac:dyDescent="0.3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</row>
    <row r="3" spans="1:9" ht="15.5" customHeight="1" x14ac:dyDescent="0.35">
      <c r="A3" s="6">
        <v>1</v>
      </c>
      <c r="B3" s="7" t="s">
        <v>40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  <c r="I3" s="8">
        <v>4.2</v>
      </c>
    </row>
    <row r="4" spans="1:9" ht="32" customHeight="1" x14ac:dyDescent="0.35">
      <c r="A4" s="9">
        <v>2</v>
      </c>
      <c r="B4" s="7" t="s">
        <v>47</v>
      </c>
      <c r="C4" s="8" t="s">
        <v>41</v>
      </c>
      <c r="D4" s="8" t="s">
        <v>42</v>
      </c>
      <c r="E4" s="8" t="s">
        <v>43</v>
      </c>
      <c r="F4" s="8" t="s">
        <v>48</v>
      </c>
      <c r="G4" s="8" t="s">
        <v>49</v>
      </c>
      <c r="H4" s="8" t="s">
        <v>50</v>
      </c>
      <c r="I4" s="8">
        <v>3.95</v>
      </c>
    </row>
    <row r="5" spans="1:9" ht="15.5" customHeight="1" x14ac:dyDescent="0.35">
      <c r="A5" s="10">
        <v>3</v>
      </c>
      <c r="B5" s="7" t="s">
        <v>51</v>
      </c>
      <c r="C5" s="8" t="s">
        <v>52</v>
      </c>
      <c r="D5" s="8" t="s">
        <v>42</v>
      </c>
      <c r="E5" s="8" t="s">
        <v>53</v>
      </c>
      <c r="F5" s="8" t="s">
        <v>54</v>
      </c>
      <c r="G5" s="8" t="s">
        <v>55</v>
      </c>
      <c r="H5" s="8" t="s">
        <v>56</v>
      </c>
      <c r="I5" s="8">
        <v>3.55</v>
      </c>
    </row>
    <row r="6" spans="1:9" ht="15.5" customHeight="1" x14ac:dyDescent="0.35">
      <c r="A6" s="11">
        <v>4</v>
      </c>
      <c r="B6" s="7" t="s">
        <v>57</v>
      </c>
      <c r="C6" s="8" t="s">
        <v>58</v>
      </c>
      <c r="D6" s="8" t="s">
        <v>42</v>
      </c>
      <c r="E6" s="8" t="s">
        <v>53</v>
      </c>
      <c r="F6" s="8" t="s">
        <v>59</v>
      </c>
      <c r="G6" s="8" t="s">
        <v>60</v>
      </c>
      <c r="H6" s="8" t="s">
        <v>61</v>
      </c>
      <c r="I6" s="8">
        <v>3.1</v>
      </c>
    </row>
    <row r="7" spans="1:9" ht="15.5" customHeight="1" x14ac:dyDescent="0.35">
      <c r="A7" s="12">
        <v>5</v>
      </c>
      <c r="B7" s="7" t="s">
        <v>62</v>
      </c>
      <c r="C7" s="8" t="s">
        <v>63</v>
      </c>
      <c r="D7" s="8" t="s">
        <v>64</v>
      </c>
      <c r="E7" s="8" t="s">
        <v>43</v>
      </c>
      <c r="F7" s="8" t="s">
        <v>65</v>
      </c>
      <c r="G7" s="8" t="s">
        <v>66</v>
      </c>
      <c r="H7" s="8" t="s">
        <v>67</v>
      </c>
      <c r="I7" s="8">
        <v>2.85</v>
      </c>
    </row>
    <row r="8" spans="1:9" ht="15.5" customHeight="1" x14ac:dyDescent="0.35">
      <c r="A8" s="78" t="s">
        <v>68</v>
      </c>
      <c r="B8" s="76"/>
      <c r="C8" s="76"/>
      <c r="D8" s="76"/>
      <c r="E8" s="76"/>
      <c r="F8" s="76"/>
      <c r="G8" s="76"/>
      <c r="H8" s="76"/>
      <c r="I8" s="76"/>
    </row>
    <row r="9" spans="1:9" ht="15.5" customHeight="1" x14ac:dyDescent="0.35">
      <c r="A9" s="2" t="s">
        <v>69</v>
      </c>
      <c r="B9" s="75" t="s">
        <v>70</v>
      </c>
      <c r="C9" s="76"/>
      <c r="D9" s="76"/>
      <c r="E9" s="76"/>
      <c r="F9" s="76"/>
      <c r="G9" s="76"/>
      <c r="H9" s="76"/>
      <c r="I9" s="76"/>
    </row>
    <row r="10" spans="1:9" ht="15.5" customHeight="1" x14ac:dyDescent="0.35">
      <c r="A10" s="14" t="s">
        <v>71</v>
      </c>
      <c r="B10" s="4" t="s">
        <v>72</v>
      </c>
      <c r="C10" s="14" t="s">
        <v>73</v>
      </c>
      <c r="D10" s="4" t="s">
        <v>74</v>
      </c>
      <c r="E10" s="14" t="s">
        <v>75</v>
      </c>
      <c r="F10" s="4" t="s">
        <v>76</v>
      </c>
      <c r="G10" s="14" t="s">
        <v>77</v>
      </c>
      <c r="H10" s="75" t="s">
        <v>78</v>
      </c>
      <c r="I10" s="76"/>
    </row>
    <row r="11" spans="1:9" ht="15.5" customHeight="1" x14ac:dyDescent="0.35">
      <c r="A11" s="2" t="s">
        <v>79</v>
      </c>
      <c r="B11" s="75" t="s">
        <v>80</v>
      </c>
      <c r="C11" s="76"/>
      <c r="D11" s="76"/>
      <c r="E11" s="76"/>
      <c r="F11" s="76"/>
      <c r="G11" s="76"/>
      <c r="H11" s="76"/>
      <c r="I11" s="76"/>
    </row>
    <row r="12" spans="1:9" ht="15.5" customHeight="1" x14ac:dyDescent="0.35">
      <c r="A12" s="14" t="s">
        <v>71</v>
      </c>
      <c r="B12" s="4" t="s">
        <v>81</v>
      </c>
      <c r="C12" s="14" t="s">
        <v>73</v>
      </c>
      <c r="D12" s="4" t="s">
        <v>82</v>
      </c>
      <c r="E12" s="14" t="s">
        <v>75</v>
      </c>
      <c r="F12" s="4" t="s">
        <v>83</v>
      </c>
      <c r="G12" s="14" t="s">
        <v>77</v>
      </c>
      <c r="H12" s="75" t="s">
        <v>84</v>
      </c>
      <c r="I12" s="76"/>
    </row>
    <row r="13" spans="1:9" ht="15.5" customHeight="1" x14ac:dyDescent="0.35">
      <c r="A13" s="2" t="s">
        <v>85</v>
      </c>
      <c r="B13" s="75" t="s">
        <v>86</v>
      </c>
      <c r="C13" s="76"/>
      <c r="D13" s="76"/>
      <c r="E13" s="76"/>
      <c r="F13" s="76"/>
      <c r="G13" s="76"/>
      <c r="H13" s="76"/>
      <c r="I13" s="76"/>
    </row>
    <row r="14" spans="1:9" ht="29" customHeight="1" x14ac:dyDescent="0.35">
      <c r="A14" s="14" t="s">
        <v>71</v>
      </c>
      <c r="B14" s="4" t="s">
        <v>87</v>
      </c>
      <c r="C14" s="14" t="s">
        <v>73</v>
      </c>
      <c r="D14" s="4" t="s">
        <v>88</v>
      </c>
      <c r="E14" s="14" t="s">
        <v>75</v>
      </c>
      <c r="F14" s="4" t="s">
        <v>89</v>
      </c>
      <c r="G14" s="14" t="s">
        <v>77</v>
      </c>
      <c r="H14" s="75" t="s">
        <v>90</v>
      </c>
      <c r="I14" s="76"/>
    </row>
    <row r="15" spans="1:9" ht="15.5" customHeight="1" x14ac:dyDescent="0.35">
      <c r="A15" s="2" t="s">
        <v>91</v>
      </c>
      <c r="B15" s="75" t="s">
        <v>92</v>
      </c>
      <c r="C15" s="76"/>
      <c r="D15" s="76"/>
      <c r="E15" s="76"/>
      <c r="F15" s="76"/>
      <c r="G15" s="76"/>
      <c r="H15" s="76"/>
      <c r="I15" s="76"/>
    </row>
    <row r="16" spans="1:9" ht="15.5" customHeight="1" x14ac:dyDescent="0.35">
      <c r="A16" s="14" t="s">
        <v>71</v>
      </c>
      <c r="B16" s="4" t="s">
        <v>93</v>
      </c>
      <c r="C16" s="14" t="s">
        <v>73</v>
      </c>
      <c r="D16" s="4" t="s">
        <v>94</v>
      </c>
      <c r="E16" s="14" t="s">
        <v>75</v>
      </c>
      <c r="F16" s="4" t="s">
        <v>95</v>
      </c>
      <c r="G16" s="14" t="s">
        <v>77</v>
      </c>
      <c r="H16" s="75" t="s">
        <v>96</v>
      </c>
      <c r="I16" s="76"/>
    </row>
    <row r="17" spans="1:9" ht="18.5" customHeight="1" x14ac:dyDescent="0.35">
      <c r="A17" s="2" t="s">
        <v>97</v>
      </c>
      <c r="B17" s="75" t="s">
        <v>98</v>
      </c>
      <c r="C17" s="76"/>
      <c r="D17" s="76"/>
      <c r="E17" s="76"/>
      <c r="F17" s="76"/>
      <c r="G17" s="76"/>
      <c r="H17" s="76"/>
      <c r="I17" s="76"/>
    </row>
    <row r="18" spans="1:9" ht="40" customHeight="1" x14ac:dyDescent="0.35">
      <c r="A18" s="14" t="s">
        <v>71</v>
      </c>
      <c r="B18" s="4" t="s">
        <v>99</v>
      </c>
      <c r="C18" s="14" t="s">
        <v>73</v>
      </c>
      <c r="D18" s="4" t="s">
        <v>100</v>
      </c>
      <c r="E18" s="14" t="s">
        <v>75</v>
      </c>
      <c r="F18" s="4" t="s">
        <v>101</v>
      </c>
      <c r="G18" s="14" t="s">
        <v>77</v>
      </c>
      <c r="H18" s="75" t="s">
        <v>102</v>
      </c>
      <c r="I18" s="76"/>
    </row>
  </sheetData>
  <mergeCells count="12">
    <mergeCell ref="H18:I18"/>
    <mergeCell ref="A1:I1"/>
    <mergeCell ref="A8:I8"/>
    <mergeCell ref="H14:I14"/>
    <mergeCell ref="B17:I17"/>
    <mergeCell ref="B9:I9"/>
    <mergeCell ref="B13:I13"/>
    <mergeCell ref="H12:I12"/>
    <mergeCell ref="B15:I15"/>
    <mergeCell ref="H16:I16"/>
    <mergeCell ref="B11:I11"/>
    <mergeCell ref="H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topLeftCell="A16" workbookViewId="0">
      <selection activeCell="B25" sqref="B25"/>
    </sheetView>
  </sheetViews>
  <sheetFormatPr defaultRowHeight="15.5" x14ac:dyDescent="0.35"/>
  <cols>
    <col min="1" max="1" width="45.54296875" style="4" customWidth="1"/>
    <col min="2" max="2" width="21.54296875" style="4" customWidth="1"/>
    <col min="3" max="4" width="8" style="4" customWidth="1"/>
    <col min="5" max="7" width="10" style="4" customWidth="1"/>
    <col min="8" max="8" width="15.36328125" style="4" customWidth="1"/>
    <col min="9" max="9" width="30.7265625" style="4" customWidth="1"/>
    <col min="10" max="11" width="8.7265625" style="4" customWidth="1"/>
    <col min="12" max="16384" width="8.7265625" style="4"/>
  </cols>
  <sheetData>
    <row r="1" spans="1:9" ht="28" customHeight="1" x14ac:dyDescent="0.35">
      <c r="A1" s="77" t="s">
        <v>103</v>
      </c>
      <c r="B1" s="75"/>
      <c r="C1" s="75"/>
      <c r="D1" s="75"/>
      <c r="E1" s="75"/>
      <c r="F1" s="75"/>
      <c r="G1" s="75"/>
      <c r="H1" s="75"/>
      <c r="I1" s="75"/>
    </row>
    <row r="2" spans="1:9" x14ac:dyDescent="0.35">
      <c r="A2" s="13" t="s">
        <v>104</v>
      </c>
      <c r="B2" s="13" t="s">
        <v>105</v>
      </c>
      <c r="C2" s="13" t="s">
        <v>106</v>
      </c>
      <c r="D2" s="13" t="s">
        <v>107</v>
      </c>
      <c r="E2" s="13" t="s">
        <v>108</v>
      </c>
      <c r="F2" s="13" t="s">
        <v>109</v>
      </c>
      <c r="G2" s="13" t="s">
        <v>110</v>
      </c>
      <c r="H2" s="13" t="s">
        <v>111</v>
      </c>
      <c r="I2" s="13" t="s">
        <v>112</v>
      </c>
    </row>
    <row r="3" spans="1:9" x14ac:dyDescent="0.35">
      <c r="A3" s="4" t="s">
        <v>113</v>
      </c>
      <c r="B3" s="52">
        <v>0.2</v>
      </c>
      <c r="C3" s="4">
        <v>4</v>
      </c>
      <c r="D3" s="4">
        <v>5</v>
      </c>
      <c r="E3" s="4">
        <v>3</v>
      </c>
      <c r="F3" s="4">
        <v>1</v>
      </c>
      <c r="G3" s="4">
        <v>2</v>
      </c>
      <c r="H3" s="4" t="s">
        <v>107</v>
      </c>
      <c r="I3" s="4" t="s">
        <v>114</v>
      </c>
    </row>
    <row r="4" spans="1:9" x14ac:dyDescent="0.35">
      <c r="A4" s="4" t="s">
        <v>115</v>
      </c>
      <c r="B4" s="52">
        <v>0.15</v>
      </c>
      <c r="C4" s="4">
        <v>2</v>
      </c>
      <c r="D4" s="4">
        <v>4</v>
      </c>
      <c r="E4" s="4">
        <v>1</v>
      </c>
      <c r="F4" s="4">
        <v>3</v>
      </c>
      <c r="G4" s="4">
        <v>5</v>
      </c>
      <c r="H4" s="4" t="s">
        <v>110</v>
      </c>
      <c r="I4" s="4" t="s">
        <v>116</v>
      </c>
    </row>
    <row r="5" spans="1:9" ht="29" customHeight="1" x14ac:dyDescent="0.35">
      <c r="A5" s="4" t="s">
        <v>117</v>
      </c>
      <c r="B5" s="52">
        <v>0.25</v>
      </c>
      <c r="C5" s="4">
        <v>2</v>
      </c>
      <c r="D5" s="4">
        <v>4</v>
      </c>
      <c r="E5" s="4">
        <v>1</v>
      </c>
      <c r="F5" s="4">
        <v>3</v>
      </c>
      <c r="G5" s="4">
        <v>5</v>
      </c>
      <c r="H5" s="4" t="s">
        <v>110</v>
      </c>
      <c r="I5" s="4" t="s">
        <v>118</v>
      </c>
    </row>
    <row r="6" spans="1:9" x14ac:dyDescent="0.35">
      <c r="A6" s="4" t="s">
        <v>119</v>
      </c>
      <c r="B6" s="52">
        <v>0.15</v>
      </c>
      <c r="C6" s="4">
        <v>3</v>
      </c>
      <c r="D6" s="4">
        <v>5</v>
      </c>
      <c r="E6" s="4">
        <v>5</v>
      </c>
      <c r="F6" s="4">
        <v>3</v>
      </c>
      <c r="G6" s="4">
        <v>3</v>
      </c>
      <c r="H6" s="4" t="s">
        <v>120</v>
      </c>
      <c r="I6" s="4" t="s">
        <v>121</v>
      </c>
    </row>
    <row r="7" spans="1:9" x14ac:dyDescent="0.35">
      <c r="A7" s="4" t="s">
        <v>122</v>
      </c>
      <c r="B7" s="52">
        <v>0.15</v>
      </c>
      <c r="C7" s="4">
        <v>3</v>
      </c>
      <c r="D7" s="4">
        <v>1</v>
      </c>
      <c r="E7" s="4">
        <v>2</v>
      </c>
      <c r="F7" s="4">
        <v>2</v>
      </c>
      <c r="G7" s="4">
        <v>5</v>
      </c>
      <c r="H7" s="4" t="s">
        <v>110</v>
      </c>
      <c r="I7" s="4" t="s">
        <v>123</v>
      </c>
    </row>
    <row r="8" spans="1:9" ht="29" customHeight="1" x14ac:dyDescent="0.35">
      <c r="A8" s="4" t="s">
        <v>124</v>
      </c>
      <c r="B8" s="52">
        <v>0.1</v>
      </c>
      <c r="C8" s="4">
        <v>3</v>
      </c>
      <c r="D8" s="4">
        <v>4</v>
      </c>
      <c r="E8" s="4">
        <v>2</v>
      </c>
      <c r="F8" s="4">
        <v>1</v>
      </c>
      <c r="G8" s="4">
        <v>5</v>
      </c>
      <c r="H8" s="4" t="s">
        <v>110</v>
      </c>
      <c r="I8" s="4" t="s">
        <v>125</v>
      </c>
    </row>
    <row r="9" spans="1:9" x14ac:dyDescent="0.35">
      <c r="A9" s="4" t="s">
        <v>126</v>
      </c>
      <c r="B9" s="52">
        <v>0</v>
      </c>
      <c r="C9" s="4">
        <v>5</v>
      </c>
      <c r="D9" s="4">
        <v>4</v>
      </c>
      <c r="E9" s="4">
        <v>3</v>
      </c>
      <c r="F9" s="4">
        <v>4</v>
      </c>
      <c r="G9" s="4">
        <v>2</v>
      </c>
      <c r="H9" s="4" t="s">
        <v>106</v>
      </c>
      <c r="I9" s="4" t="s">
        <v>127</v>
      </c>
    </row>
    <row r="10" spans="1:9" x14ac:dyDescent="0.35">
      <c r="A10" s="80" t="s">
        <v>128</v>
      </c>
      <c r="B10" s="75"/>
      <c r="C10" s="75"/>
      <c r="D10" s="75"/>
      <c r="E10" s="75"/>
      <c r="F10" s="75"/>
      <c r="G10" s="75"/>
      <c r="H10" s="75"/>
      <c r="I10" s="75"/>
    </row>
    <row r="11" spans="1:9" x14ac:dyDescent="0.35">
      <c r="A11" s="24" t="s">
        <v>129</v>
      </c>
      <c r="B11" s="25" t="s">
        <v>40</v>
      </c>
      <c r="C11" s="30" t="s">
        <v>130</v>
      </c>
      <c r="D11" s="30"/>
      <c r="E11" s="30"/>
      <c r="F11" s="30"/>
      <c r="G11" s="30"/>
      <c r="H11" s="30"/>
      <c r="I11" s="30"/>
    </row>
    <row r="12" spans="1:9" x14ac:dyDescent="0.35">
      <c r="A12" s="22" t="s">
        <v>131</v>
      </c>
      <c r="B12" s="23" t="s">
        <v>47</v>
      </c>
      <c r="C12" s="29" t="s">
        <v>132</v>
      </c>
      <c r="D12" s="29"/>
      <c r="E12" s="29"/>
      <c r="F12" s="29"/>
      <c r="G12" s="29"/>
      <c r="H12" s="29"/>
      <c r="I12" s="29"/>
    </row>
    <row r="13" spans="1:9" x14ac:dyDescent="0.35">
      <c r="A13" s="20" t="s">
        <v>133</v>
      </c>
      <c r="B13" s="21" t="s">
        <v>51</v>
      </c>
      <c r="C13" s="28" t="s">
        <v>134</v>
      </c>
      <c r="D13" s="28"/>
      <c r="E13" s="28"/>
      <c r="F13" s="28"/>
      <c r="G13" s="28"/>
      <c r="H13" s="28"/>
      <c r="I13" s="28"/>
    </row>
    <row r="14" spans="1:9" x14ac:dyDescent="0.35">
      <c r="A14" s="18" t="s">
        <v>135</v>
      </c>
      <c r="B14" s="19" t="s">
        <v>57</v>
      </c>
      <c r="C14" s="27" t="s">
        <v>136</v>
      </c>
      <c r="D14" s="27"/>
      <c r="E14" s="27"/>
      <c r="F14" s="27"/>
      <c r="G14" s="27"/>
      <c r="H14" s="27"/>
      <c r="I14" s="27"/>
    </row>
    <row r="15" spans="1:9" ht="15.5" customHeight="1" x14ac:dyDescent="0.35">
      <c r="A15" s="17" t="s">
        <v>137</v>
      </c>
      <c r="B15" s="17" t="s">
        <v>62</v>
      </c>
      <c r="C15" s="26" t="s">
        <v>138</v>
      </c>
      <c r="D15" s="26"/>
      <c r="E15" s="26"/>
      <c r="F15" s="26"/>
      <c r="G15" s="26"/>
      <c r="H15" s="26"/>
      <c r="I15" s="17"/>
    </row>
    <row r="16" spans="1:9" ht="15.5" customHeight="1" x14ac:dyDescent="0.35">
      <c r="A16" s="78" t="s">
        <v>139</v>
      </c>
      <c r="B16" s="75"/>
      <c r="C16" s="75"/>
      <c r="D16" s="75"/>
      <c r="E16" s="75"/>
      <c r="F16" s="75"/>
      <c r="G16" s="75"/>
      <c r="H16" s="75"/>
      <c r="I16" s="75"/>
    </row>
    <row r="17" spans="1:9" x14ac:dyDescent="0.35">
      <c r="A17" s="15" t="s">
        <v>140</v>
      </c>
      <c r="B17" s="4" t="s">
        <v>107</v>
      </c>
      <c r="C17" s="31" t="s">
        <v>141</v>
      </c>
      <c r="D17" s="31"/>
      <c r="E17" s="31"/>
      <c r="F17" s="31"/>
      <c r="G17" s="31"/>
      <c r="H17" s="31"/>
      <c r="I17" s="31"/>
    </row>
    <row r="18" spans="1:9" ht="15.5" customHeight="1" x14ac:dyDescent="0.35">
      <c r="A18" s="15" t="s">
        <v>142</v>
      </c>
      <c r="B18" s="4" t="s">
        <v>40</v>
      </c>
      <c r="C18" s="31" t="s">
        <v>143</v>
      </c>
      <c r="D18" s="31"/>
      <c r="E18" s="31"/>
      <c r="F18" s="31"/>
      <c r="G18" s="31"/>
      <c r="H18" s="31"/>
      <c r="I18" s="31"/>
    </row>
    <row r="19" spans="1:9" ht="15.5" customHeight="1" x14ac:dyDescent="0.35">
      <c r="A19" s="15" t="s">
        <v>144</v>
      </c>
      <c r="B19" s="4" t="s">
        <v>51</v>
      </c>
      <c r="C19" s="31" t="s">
        <v>145</v>
      </c>
      <c r="D19" s="31"/>
      <c r="E19" s="31"/>
      <c r="F19" s="31"/>
      <c r="G19" s="31"/>
      <c r="H19" s="31"/>
      <c r="I19" s="31"/>
    </row>
    <row r="20" spans="1:9" x14ac:dyDescent="0.35">
      <c r="A20" s="15" t="s">
        <v>146</v>
      </c>
      <c r="B20" s="4" t="s">
        <v>62</v>
      </c>
      <c r="C20" s="31" t="s">
        <v>147</v>
      </c>
      <c r="D20" s="31"/>
      <c r="E20" s="31"/>
      <c r="F20" s="31"/>
      <c r="G20" s="31"/>
      <c r="H20" s="31"/>
      <c r="I20" s="31"/>
    </row>
    <row r="21" spans="1:9" ht="16" customHeight="1" thickBot="1" x14ac:dyDescent="0.4">
      <c r="A21" s="79" t="s">
        <v>148</v>
      </c>
      <c r="B21" s="75"/>
      <c r="C21" s="75"/>
      <c r="D21" s="75"/>
      <c r="E21" s="75"/>
      <c r="F21" s="75"/>
    </row>
    <row r="22" spans="1:9" ht="16" customHeight="1" thickBot="1" x14ac:dyDescent="0.4">
      <c r="A22" s="53" t="s">
        <v>104</v>
      </c>
      <c r="B22" s="53" t="s">
        <v>149</v>
      </c>
      <c r="C22" s="53" t="s">
        <v>106</v>
      </c>
      <c r="D22" s="53" t="s">
        <v>107</v>
      </c>
      <c r="E22" s="53" t="s">
        <v>108</v>
      </c>
      <c r="F22" s="53" t="s">
        <v>109</v>
      </c>
      <c r="G22" s="54" t="s">
        <v>110</v>
      </c>
      <c r="H22" s="53" t="s">
        <v>111</v>
      </c>
    </row>
    <row r="23" spans="1:9" ht="43.5" customHeight="1" thickTop="1" thickBot="1" x14ac:dyDescent="0.4">
      <c r="A23" s="55" t="s">
        <v>150</v>
      </c>
      <c r="B23" s="56">
        <v>0.38</v>
      </c>
      <c r="C23" s="57">
        <v>5</v>
      </c>
      <c r="D23" s="58">
        <v>4</v>
      </c>
      <c r="E23" s="58">
        <v>4</v>
      </c>
      <c r="F23" s="59">
        <v>3</v>
      </c>
      <c r="G23" s="60">
        <v>1</v>
      </c>
      <c r="H23" s="61" t="s">
        <v>106</v>
      </c>
    </row>
    <row r="24" spans="1:9" ht="29" customHeight="1" thickBot="1" x14ac:dyDescent="0.4">
      <c r="A24" s="62" t="s">
        <v>151</v>
      </c>
      <c r="B24" s="63">
        <v>0.2</v>
      </c>
      <c r="C24" s="64">
        <v>2</v>
      </c>
      <c r="D24" s="65">
        <v>4</v>
      </c>
      <c r="E24" s="66">
        <v>1</v>
      </c>
      <c r="F24" s="65">
        <v>4</v>
      </c>
      <c r="G24" s="65">
        <v>4</v>
      </c>
      <c r="H24" s="67" t="s">
        <v>152</v>
      </c>
    </row>
    <row r="25" spans="1:9" ht="43.5" customHeight="1" thickBot="1" x14ac:dyDescent="0.4">
      <c r="A25" s="62" t="s">
        <v>153</v>
      </c>
      <c r="B25" s="63">
        <v>0.12</v>
      </c>
      <c r="C25" s="64">
        <v>2</v>
      </c>
      <c r="D25" s="68">
        <v>3</v>
      </c>
      <c r="E25" s="66">
        <v>1</v>
      </c>
      <c r="F25" s="65">
        <v>4</v>
      </c>
      <c r="G25" s="69">
        <v>5</v>
      </c>
      <c r="H25" s="67" t="s">
        <v>110</v>
      </c>
    </row>
    <row r="26" spans="1:9" ht="43.5" customHeight="1" thickBot="1" x14ac:dyDescent="0.4">
      <c r="A26" s="62" t="s">
        <v>154</v>
      </c>
      <c r="B26" s="63">
        <v>0.12</v>
      </c>
      <c r="C26" s="68">
        <v>3</v>
      </c>
      <c r="D26" s="69">
        <v>5</v>
      </c>
      <c r="E26" s="69">
        <v>5</v>
      </c>
      <c r="F26" s="65">
        <v>4</v>
      </c>
      <c r="G26" s="68">
        <v>3</v>
      </c>
      <c r="H26" s="67" t="s">
        <v>120</v>
      </c>
    </row>
    <row r="27" spans="1:9" ht="16" customHeight="1" thickBot="1" x14ac:dyDescent="0.4">
      <c r="A27" s="62" t="s">
        <v>155</v>
      </c>
      <c r="B27" s="63">
        <v>0.1</v>
      </c>
      <c r="C27" s="65">
        <v>4</v>
      </c>
      <c r="D27" s="66">
        <v>1</v>
      </c>
      <c r="E27" s="68">
        <v>3</v>
      </c>
      <c r="F27" s="64">
        <v>2</v>
      </c>
      <c r="G27" s="69">
        <v>5</v>
      </c>
      <c r="H27" s="67" t="s">
        <v>110</v>
      </c>
    </row>
    <row r="28" spans="1:9" ht="16" customHeight="1" thickBot="1" x14ac:dyDescent="0.4">
      <c r="A28" s="62" t="s">
        <v>156</v>
      </c>
      <c r="B28" s="63">
        <v>0.08</v>
      </c>
      <c r="C28" s="65">
        <v>4</v>
      </c>
      <c r="D28" s="65">
        <v>4</v>
      </c>
      <c r="E28" s="64">
        <v>2</v>
      </c>
      <c r="F28" s="66">
        <v>1</v>
      </c>
      <c r="G28" s="69">
        <v>5</v>
      </c>
      <c r="H28" s="67" t="s">
        <v>110</v>
      </c>
    </row>
    <row r="29" spans="1:9" ht="16" customHeight="1" thickBot="1" x14ac:dyDescent="0.4">
      <c r="A29" s="70" t="s">
        <v>157</v>
      </c>
      <c r="B29" s="71">
        <v>1</v>
      </c>
      <c r="C29" s="70">
        <v>3.82</v>
      </c>
      <c r="D29" s="70">
        <v>3.74</v>
      </c>
      <c r="E29" s="70">
        <v>3.3</v>
      </c>
      <c r="F29" s="70">
        <v>3.02</v>
      </c>
      <c r="G29" s="70">
        <v>3</v>
      </c>
      <c r="H29" s="70" t="s">
        <v>158</v>
      </c>
    </row>
    <row r="30" spans="1:9" ht="14.5" customHeight="1" x14ac:dyDescent="0.35"/>
  </sheetData>
  <mergeCells count="4">
    <mergeCell ref="A1:I1"/>
    <mergeCell ref="A21:F21"/>
    <mergeCell ref="A16:I16"/>
    <mergeCell ref="A10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>
      <pane ySplit="1" topLeftCell="A2" activePane="bottomLeft" state="frozen"/>
      <selection pane="bottomLeft" activeCell="F18" sqref="F18"/>
    </sheetView>
  </sheetViews>
  <sheetFormatPr defaultRowHeight="15.5" x14ac:dyDescent="0.35"/>
  <cols>
    <col min="1" max="1" width="20" style="4" customWidth="1"/>
    <col min="2" max="2" width="8" style="4" customWidth="1"/>
    <col min="3" max="3" width="10" style="4" customWidth="1"/>
    <col min="4" max="4" width="16" style="4" customWidth="1"/>
    <col min="5" max="5" width="8" style="4" customWidth="1"/>
    <col min="6" max="6" width="12.81640625" style="4" customWidth="1"/>
    <col min="7" max="7" width="19.7265625" style="4" customWidth="1"/>
    <col min="8" max="8" width="18" style="4" customWidth="1"/>
    <col min="9" max="9" width="13.6328125" style="4" customWidth="1"/>
    <col min="10" max="10" width="37.90625" style="4" customWidth="1"/>
    <col min="11" max="11" width="37.7265625" style="4" customWidth="1"/>
    <col min="12" max="12" width="16.54296875" style="4" customWidth="1"/>
    <col min="13" max="13" width="12.54296875" style="4" customWidth="1"/>
    <col min="14" max="14" width="15.6328125" style="4" customWidth="1"/>
    <col min="15" max="15" width="16.36328125" style="4" customWidth="1"/>
    <col min="16" max="17" width="8.7265625" style="4" customWidth="1"/>
    <col min="18" max="16384" width="8.7265625" style="4"/>
  </cols>
  <sheetData>
    <row r="1" spans="1:15" ht="32" customHeight="1" x14ac:dyDescent="0.35">
      <c r="A1" s="13" t="s">
        <v>32</v>
      </c>
      <c r="B1" s="13" t="s">
        <v>33</v>
      </c>
      <c r="C1" s="13" t="s">
        <v>159</v>
      </c>
      <c r="D1" s="13" t="s">
        <v>160</v>
      </c>
      <c r="E1" s="13" t="s">
        <v>161</v>
      </c>
      <c r="F1" s="13" t="s">
        <v>36</v>
      </c>
      <c r="G1" s="13" t="s">
        <v>162</v>
      </c>
      <c r="H1" s="13" t="s">
        <v>163</v>
      </c>
      <c r="I1" s="13" t="s">
        <v>164</v>
      </c>
      <c r="J1" s="13" t="s">
        <v>165</v>
      </c>
      <c r="K1" s="13" t="s">
        <v>166</v>
      </c>
      <c r="L1" s="13" t="s">
        <v>167</v>
      </c>
      <c r="M1" s="13" t="s">
        <v>168</v>
      </c>
      <c r="N1" s="13" t="s">
        <v>169</v>
      </c>
      <c r="O1" s="13" t="s">
        <v>77</v>
      </c>
    </row>
    <row r="2" spans="1:15" x14ac:dyDescent="0.35">
      <c r="A2" s="4" t="s">
        <v>40</v>
      </c>
      <c r="B2" s="4" t="s">
        <v>41</v>
      </c>
      <c r="C2" s="4" t="s">
        <v>42</v>
      </c>
      <c r="D2" s="4" t="s">
        <v>43</v>
      </c>
      <c r="E2" s="3">
        <v>5</v>
      </c>
      <c r="F2" s="4">
        <v>7.51</v>
      </c>
      <c r="G2" s="4">
        <v>1.42</v>
      </c>
      <c r="H2" s="4">
        <v>15.2</v>
      </c>
      <c r="I2" s="4" t="s">
        <v>170</v>
      </c>
      <c r="J2" s="4" t="s">
        <v>72</v>
      </c>
      <c r="K2" s="4" t="s">
        <v>171</v>
      </c>
      <c r="L2" s="4">
        <v>-8.5</v>
      </c>
      <c r="M2" s="4">
        <v>647</v>
      </c>
      <c r="N2" s="4">
        <v>230</v>
      </c>
      <c r="O2" s="4" t="s">
        <v>172</v>
      </c>
    </row>
    <row r="3" spans="1:15" ht="29" customHeight="1" x14ac:dyDescent="0.35">
      <c r="A3" s="4" t="s">
        <v>47</v>
      </c>
      <c r="B3" s="4" t="s">
        <v>41</v>
      </c>
      <c r="C3" s="4" t="s">
        <v>42</v>
      </c>
      <c r="D3" s="4" t="s">
        <v>43</v>
      </c>
      <c r="E3" s="3">
        <v>5</v>
      </c>
      <c r="F3" s="4">
        <v>8.1</v>
      </c>
      <c r="G3" s="4">
        <v>1.74</v>
      </c>
      <c r="H3" s="4">
        <v>18.5</v>
      </c>
      <c r="I3" s="4" t="s">
        <v>173</v>
      </c>
      <c r="J3" s="4" t="s">
        <v>81</v>
      </c>
      <c r="K3" s="4" t="s">
        <v>174</v>
      </c>
      <c r="L3" s="4">
        <v>-38</v>
      </c>
      <c r="M3" s="4">
        <v>454</v>
      </c>
      <c r="N3" s="4">
        <v>18</v>
      </c>
      <c r="O3" s="4" t="s">
        <v>172</v>
      </c>
    </row>
    <row r="4" spans="1:15" x14ac:dyDescent="0.35">
      <c r="A4" s="4" t="s">
        <v>51</v>
      </c>
      <c r="B4" s="4" t="s">
        <v>52</v>
      </c>
      <c r="C4" s="4" t="s">
        <v>42</v>
      </c>
      <c r="D4" s="4" t="s">
        <v>53</v>
      </c>
      <c r="E4" s="3">
        <v>5</v>
      </c>
      <c r="F4" s="4">
        <v>6.3</v>
      </c>
      <c r="G4" s="4">
        <v>1.28</v>
      </c>
      <c r="H4" s="4">
        <v>13.8</v>
      </c>
      <c r="I4" s="4" t="s">
        <v>173</v>
      </c>
      <c r="J4" s="4" t="s">
        <v>87</v>
      </c>
      <c r="K4" s="4" t="s">
        <v>175</v>
      </c>
      <c r="L4" s="4">
        <v>-7.2</v>
      </c>
      <c r="M4" s="4">
        <v>676</v>
      </c>
      <c r="N4" s="4">
        <v>402</v>
      </c>
      <c r="O4" s="4" t="s">
        <v>176</v>
      </c>
    </row>
    <row r="5" spans="1:15" x14ac:dyDescent="0.35">
      <c r="A5" s="4" t="s">
        <v>57</v>
      </c>
      <c r="B5" s="4" t="s">
        <v>58</v>
      </c>
      <c r="C5" s="4" t="s">
        <v>42</v>
      </c>
      <c r="D5" s="4" t="s">
        <v>53</v>
      </c>
      <c r="E5" s="3">
        <v>5</v>
      </c>
      <c r="F5" s="4">
        <v>3.34</v>
      </c>
      <c r="G5" s="4">
        <v>1.51</v>
      </c>
      <c r="H5" s="4">
        <v>16.8</v>
      </c>
      <c r="I5" s="4" t="s">
        <v>170</v>
      </c>
      <c r="J5" s="4" t="s">
        <v>93</v>
      </c>
      <c r="K5" s="4" t="s">
        <v>177</v>
      </c>
      <c r="L5" s="4">
        <v>-29.9</v>
      </c>
      <c r="M5" s="4">
        <v>1038</v>
      </c>
      <c r="N5" s="4">
        <v>77</v>
      </c>
      <c r="O5" s="4" t="s">
        <v>178</v>
      </c>
    </row>
    <row r="6" spans="1:15" x14ac:dyDescent="0.35">
      <c r="A6" s="4" t="s">
        <v>62</v>
      </c>
      <c r="B6" s="4" t="s">
        <v>63</v>
      </c>
      <c r="C6" s="4" t="s">
        <v>64</v>
      </c>
      <c r="D6" s="4" t="s">
        <v>43</v>
      </c>
      <c r="E6" s="3">
        <v>5</v>
      </c>
      <c r="F6" s="4">
        <v>5.0999999999999996</v>
      </c>
      <c r="G6" s="4">
        <v>1.82</v>
      </c>
      <c r="H6" s="4">
        <v>20.399999999999999</v>
      </c>
      <c r="I6" s="4" t="s">
        <v>170</v>
      </c>
      <c r="J6" s="4" t="s">
        <v>99</v>
      </c>
      <c r="K6" s="4" t="s">
        <v>179</v>
      </c>
      <c r="L6" s="4">
        <v>4.5</v>
      </c>
      <c r="M6" s="4">
        <v>356</v>
      </c>
      <c r="N6" s="4">
        <v>603</v>
      </c>
      <c r="O6" s="4" t="s">
        <v>180</v>
      </c>
    </row>
    <row r="7" spans="1:15" x14ac:dyDescent="0.35">
      <c r="A7" s="4" t="s">
        <v>181</v>
      </c>
      <c r="B7" s="4" t="s">
        <v>182</v>
      </c>
      <c r="C7" s="4" t="s">
        <v>42</v>
      </c>
      <c r="D7" s="4" t="s">
        <v>53</v>
      </c>
      <c r="E7" s="16">
        <v>4</v>
      </c>
      <c r="F7" s="4">
        <v>2.76</v>
      </c>
      <c r="G7" s="4">
        <v>1.71</v>
      </c>
      <c r="H7" s="4">
        <v>17.2</v>
      </c>
      <c r="I7" s="4" t="s">
        <v>170</v>
      </c>
      <c r="J7" s="4" t="s">
        <v>87</v>
      </c>
      <c r="K7" s="4" t="s">
        <v>183</v>
      </c>
      <c r="L7" s="4">
        <v>3.5</v>
      </c>
      <c r="M7" s="4">
        <v>540</v>
      </c>
      <c r="N7" s="4">
        <v>403</v>
      </c>
      <c r="O7" s="4" t="s">
        <v>176</v>
      </c>
    </row>
    <row r="8" spans="1:15" x14ac:dyDescent="0.35">
      <c r="A8" s="4" t="s">
        <v>184</v>
      </c>
      <c r="B8" s="4" t="s">
        <v>185</v>
      </c>
      <c r="C8" s="4" t="s">
        <v>42</v>
      </c>
      <c r="D8" s="4" t="s">
        <v>53</v>
      </c>
      <c r="E8" s="16">
        <v>4</v>
      </c>
      <c r="F8" s="4">
        <v>2.1</v>
      </c>
      <c r="G8" s="4">
        <v>1.65</v>
      </c>
      <c r="H8" s="4">
        <v>18.5</v>
      </c>
      <c r="I8" s="4" t="s">
        <v>173</v>
      </c>
      <c r="J8" s="4" t="s">
        <v>87</v>
      </c>
      <c r="K8" s="4" t="s">
        <v>186</v>
      </c>
      <c r="L8" s="4">
        <v>52.6</v>
      </c>
      <c r="M8" s="4">
        <v>472</v>
      </c>
      <c r="N8" s="4">
        <v>464</v>
      </c>
      <c r="O8" s="4" t="s">
        <v>176</v>
      </c>
    </row>
    <row r="9" spans="1:15" x14ac:dyDescent="0.35">
      <c r="A9" s="4" t="s">
        <v>187</v>
      </c>
      <c r="B9" s="4" t="s">
        <v>188</v>
      </c>
      <c r="C9" s="4" t="s">
        <v>64</v>
      </c>
      <c r="D9" s="4" t="s">
        <v>43</v>
      </c>
      <c r="E9" s="36">
        <v>3</v>
      </c>
      <c r="F9" s="4">
        <v>3</v>
      </c>
      <c r="G9" s="4">
        <v>1.1499999999999999</v>
      </c>
      <c r="H9" s="4">
        <v>10.199999999999999</v>
      </c>
      <c r="I9" s="4" t="s">
        <v>189</v>
      </c>
      <c r="J9" s="4" t="s">
        <v>99</v>
      </c>
      <c r="K9" s="4" t="s">
        <v>190</v>
      </c>
      <c r="L9" s="4">
        <v>-75</v>
      </c>
      <c r="M9" s="4">
        <v>557</v>
      </c>
      <c r="N9" s="4">
        <v>566</v>
      </c>
      <c r="O9" s="4" t="s">
        <v>176</v>
      </c>
    </row>
    <row r="10" spans="1:15" x14ac:dyDescent="0.35">
      <c r="A10" s="4" t="s">
        <v>191</v>
      </c>
      <c r="B10" s="4" t="s">
        <v>192</v>
      </c>
      <c r="C10" s="4" t="s">
        <v>64</v>
      </c>
      <c r="D10" s="4" t="s">
        <v>43</v>
      </c>
      <c r="E10" s="36">
        <v>3</v>
      </c>
      <c r="F10" s="4">
        <v>4.05</v>
      </c>
      <c r="G10" s="4">
        <v>1.1200000000000001</v>
      </c>
      <c r="H10" s="4">
        <v>8.5</v>
      </c>
      <c r="I10" s="4" t="s">
        <v>189</v>
      </c>
      <c r="J10" s="4" t="s">
        <v>193</v>
      </c>
      <c r="K10" s="4" t="s">
        <v>194</v>
      </c>
      <c r="L10" s="4">
        <v>-15</v>
      </c>
      <c r="M10" s="4">
        <v>515</v>
      </c>
      <c r="N10" s="4">
        <v>669</v>
      </c>
      <c r="O10" s="4" t="s">
        <v>178</v>
      </c>
    </row>
    <row r="11" spans="1:15" x14ac:dyDescent="0.35">
      <c r="A11" s="4" t="s">
        <v>195</v>
      </c>
      <c r="B11" s="4" t="s">
        <v>196</v>
      </c>
      <c r="C11" s="4" t="s">
        <v>197</v>
      </c>
      <c r="D11" s="4" t="s">
        <v>53</v>
      </c>
      <c r="E11" s="37">
        <v>2</v>
      </c>
      <c r="F11" s="4">
        <v>4.93</v>
      </c>
      <c r="G11" s="4">
        <v>0.45</v>
      </c>
      <c r="H11" s="4">
        <v>3.2</v>
      </c>
      <c r="I11" s="4" t="s">
        <v>198</v>
      </c>
      <c r="J11" s="4" t="s">
        <v>199</v>
      </c>
      <c r="K11" s="4" t="s">
        <v>200</v>
      </c>
      <c r="L11" s="4">
        <v>-8.5</v>
      </c>
      <c r="M11" s="4">
        <v>399</v>
      </c>
      <c r="N11" s="4">
        <v>343</v>
      </c>
      <c r="O11" s="4" t="s">
        <v>201</v>
      </c>
    </row>
    <row r="12" spans="1:15" x14ac:dyDescent="0.35">
      <c r="A12" s="4" t="s">
        <v>202</v>
      </c>
      <c r="B12" s="4" t="s">
        <v>203</v>
      </c>
      <c r="C12" s="4" t="s">
        <v>204</v>
      </c>
      <c r="D12" s="4" t="s">
        <v>43</v>
      </c>
      <c r="E12" s="37">
        <v>2</v>
      </c>
      <c r="F12" s="4">
        <v>3.69</v>
      </c>
      <c r="G12" s="4">
        <v>0.8</v>
      </c>
      <c r="H12" s="4">
        <v>4.8</v>
      </c>
      <c r="I12" s="4" t="s">
        <v>198</v>
      </c>
      <c r="J12" s="4" t="s">
        <v>205</v>
      </c>
      <c r="K12" s="4" t="s">
        <v>206</v>
      </c>
      <c r="L12" s="4">
        <v>-50</v>
      </c>
      <c r="M12" s="4">
        <v>238</v>
      </c>
      <c r="N12" s="4">
        <v>411</v>
      </c>
      <c r="O12" s="4" t="s">
        <v>201</v>
      </c>
    </row>
    <row r="13" spans="1:15" x14ac:dyDescent="0.35">
      <c r="A13" s="4" t="s">
        <v>207</v>
      </c>
      <c r="B13" s="4" t="s">
        <v>208</v>
      </c>
      <c r="C13" s="4" t="s">
        <v>197</v>
      </c>
      <c r="D13" s="4" t="s">
        <v>53</v>
      </c>
      <c r="E13" s="17">
        <v>1</v>
      </c>
      <c r="F13" s="4">
        <v>1.1599999999999999</v>
      </c>
      <c r="G13" s="4">
        <v>-0.15</v>
      </c>
      <c r="H13" s="4">
        <v>-1.5</v>
      </c>
      <c r="I13" s="4" t="s">
        <v>209</v>
      </c>
      <c r="J13" s="4" t="s">
        <v>210</v>
      </c>
      <c r="K13" s="4" t="s">
        <v>211</v>
      </c>
      <c r="L13" s="4">
        <v>-12</v>
      </c>
      <c r="M13" s="4">
        <v>0</v>
      </c>
      <c r="N13" s="4">
        <v>0</v>
      </c>
      <c r="O13" s="4" t="s">
        <v>180</v>
      </c>
    </row>
    <row r="14" spans="1:15" x14ac:dyDescent="0.35">
      <c r="A14" s="4" t="s">
        <v>212</v>
      </c>
      <c r="B14" s="4" t="s">
        <v>213</v>
      </c>
      <c r="C14" s="4" t="s">
        <v>204</v>
      </c>
      <c r="D14" s="4" t="s">
        <v>43</v>
      </c>
      <c r="E14" s="17">
        <v>1</v>
      </c>
      <c r="F14" s="4">
        <v>2.08</v>
      </c>
      <c r="G14" s="4">
        <v>-0.25</v>
      </c>
      <c r="H14" s="4">
        <v>-2.1</v>
      </c>
      <c r="I14" s="4" t="s">
        <v>209</v>
      </c>
      <c r="J14" s="4" t="s">
        <v>214</v>
      </c>
      <c r="K14" s="4" t="s">
        <v>215</v>
      </c>
      <c r="L14" s="4">
        <v>-18.5</v>
      </c>
      <c r="M14" s="4">
        <v>173</v>
      </c>
      <c r="N14" s="4">
        <v>173</v>
      </c>
      <c r="O14" s="4" t="s">
        <v>201</v>
      </c>
    </row>
    <row r="15" spans="1:15" x14ac:dyDescent="0.35">
      <c r="A15" s="4" t="s">
        <v>216</v>
      </c>
      <c r="B15" s="4" t="s">
        <v>217</v>
      </c>
      <c r="C15" s="4" t="s">
        <v>204</v>
      </c>
      <c r="D15" s="4" t="s">
        <v>43</v>
      </c>
      <c r="E15" s="17">
        <v>1</v>
      </c>
      <c r="F15" s="4">
        <v>4.34</v>
      </c>
      <c r="G15" s="4">
        <v>-0.35</v>
      </c>
      <c r="H15" s="4">
        <v>-3.5</v>
      </c>
      <c r="I15" s="4" t="s">
        <v>209</v>
      </c>
      <c r="J15" s="4" t="s">
        <v>214</v>
      </c>
      <c r="K15" s="4" t="s">
        <v>218</v>
      </c>
      <c r="L15" s="4">
        <v>-22</v>
      </c>
      <c r="M15" s="4">
        <v>215</v>
      </c>
      <c r="N15" s="4">
        <v>215</v>
      </c>
      <c r="O15" s="4" t="s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E7" sqref="E7"/>
    </sheetView>
  </sheetViews>
  <sheetFormatPr defaultRowHeight="15.5" x14ac:dyDescent="0.35"/>
  <cols>
    <col min="1" max="1" width="26" style="4" customWidth="1"/>
    <col min="2" max="7" width="14" style="4" customWidth="1"/>
    <col min="8" max="8" width="11" style="4" customWidth="1"/>
    <col min="9" max="10" width="8.7265625" style="4" customWidth="1"/>
    <col min="11" max="16384" width="8.7265625" style="4"/>
  </cols>
  <sheetData>
    <row r="1" spans="1:8" ht="21" customHeight="1" x14ac:dyDescent="0.35">
      <c r="A1" s="81" t="s">
        <v>219</v>
      </c>
      <c r="B1" s="82"/>
      <c r="C1" s="82"/>
      <c r="D1" s="82"/>
      <c r="E1" s="82"/>
      <c r="F1" s="82"/>
      <c r="G1" s="82"/>
      <c r="H1" s="82"/>
    </row>
    <row r="2" spans="1:8" ht="30" customHeight="1" x14ac:dyDescent="0.35">
      <c r="A2" s="32" t="s">
        <v>220</v>
      </c>
      <c r="B2" s="32" t="s">
        <v>221</v>
      </c>
      <c r="C2" s="32" t="s">
        <v>222</v>
      </c>
      <c r="D2" s="32" t="s">
        <v>223</v>
      </c>
      <c r="E2" s="32" t="s">
        <v>224</v>
      </c>
      <c r="F2" s="32" t="s">
        <v>225</v>
      </c>
      <c r="G2" s="32" t="s">
        <v>226</v>
      </c>
      <c r="H2" s="32" t="s">
        <v>227</v>
      </c>
    </row>
    <row r="3" spans="1:8" ht="32" customHeight="1" x14ac:dyDescent="0.35">
      <c r="A3" s="33" t="s">
        <v>228</v>
      </c>
      <c r="B3" s="34">
        <v>323</v>
      </c>
      <c r="C3" s="34">
        <v>830.5</v>
      </c>
      <c r="D3" s="34">
        <v>1440.8</v>
      </c>
      <c r="E3" s="34">
        <v>1491.1</v>
      </c>
      <c r="F3" s="34">
        <v>2232.8000000000002</v>
      </c>
      <c r="G3" s="35" t="s">
        <v>229</v>
      </c>
      <c r="H3" s="35">
        <v>323</v>
      </c>
    </row>
    <row r="4" spans="1:8" x14ac:dyDescent="0.35">
      <c r="A4" s="33" t="s">
        <v>230</v>
      </c>
      <c r="B4" s="34">
        <v>1219.9000000000001</v>
      </c>
      <c r="C4" s="34">
        <v>1260.9000000000001</v>
      </c>
      <c r="D4" s="34">
        <v>461.9</v>
      </c>
      <c r="E4" s="34">
        <v>639.70000000000005</v>
      </c>
      <c r="F4" s="34">
        <v>1213.0999999999999</v>
      </c>
      <c r="G4" s="35" t="s">
        <v>231</v>
      </c>
      <c r="H4" s="35">
        <v>461.9</v>
      </c>
    </row>
    <row r="5" spans="1:8" x14ac:dyDescent="0.35">
      <c r="A5" s="33" t="s">
        <v>232</v>
      </c>
      <c r="B5" s="34">
        <v>1363.8</v>
      </c>
      <c r="C5" s="34">
        <v>1024.5</v>
      </c>
      <c r="D5" s="34">
        <v>8.8000000000000007</v>
      </c>
      <c r="E5" s="34">
        <v>175.8</v>
      </c>
      <c r="F5" s="34">
        <v>850.2</v>
      </c>
      <c r="G5" s="35" t="s">
        <v>231</v>
      </c>
      <c r="H5" s="35">
        <v>8.8000000000000007</v>
      </c>
    </row>
    <row r="6" spans="1:8" x14ac:dyDescent="0.35">
      <c r="A6" s="33" t="s">
        <v>233</v>
      </c>
      <c r="B6" s="34">
        <v>2196.9</v>
      </c>
      <c r="C6" s="34">
        <v>2067.1</v>
      </c>
      <c r="D6" s="34">
        <v>1049.8</v>
      </c>
      <c r="E6" s="34">
        <v>1126.9000000000001</v>
      </c>
      <c r="F6" s="34">
        <v>1001.1</v>
      </c>
      <c r="G6" s="35" t="s">
        <v>234</v>
      </c>
      <c r="H6" s="35">
        <v>1001.1</v>
      </c>
    </row>
    <row r="7" spans="1:8" x14ac:dyDescent="0.35">
      <c r="A7" s="33" t="s">
        <v>235</v>
      </c>
      <c r="B7" s="34">
        <v>2290.9</v>
      </c>
      <c r="C7" s="34">
        <v>1764.3</v>
      </c>
      <c r="D7" s="34">
        <v>936.3</v>
      </c>
      <c r="E7" s="34">
        <v>864.3</v>
      </c>
      <c r="F7" s="34">
        <v>208.6</v>
      </c>
      <c r="G7" s="35" t="s">
        <v>234</v>
      </c>
      <c r="H7" s="35">
        <v>208.6</v>
      </c>
    </row>
    <row r="8" spans="1:8" x14ac:dyDescent="0.35">
      <c r="A8" s="33" t="s">
        <v>236</v>
      </c>
      <c r="B8" s="34">
        <v>2194.6999999999998</v>
      </c>
      <c r="C8" s="34">
        <v>1597.5</v>
      </c>
      <c r="D8" s="34">
        <v>858.1</v>
      </c>
      <c r="E8" s="34">
        <v>752.4</v>
      </c>
      <c r="F8" s="34">
        <v>0</v>
      </c>
      <c r="G8" s="35" t="s">
        <v>234</v>
      </c>
      <c r="H8" s="35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tabSelected="1" workbookViewId="0">
      <selection activeCell="H4" sqref="H4"/>
    </sheetView>
  </sheetViews>
  <sheetFormatPr defaultRowHeight="15.5" x14ac:dyDescent="0.35"/>
  <cols>
    <col min="1" max="1" width="22" style="4" customWidth="1"/>
    <col min="2" max="7" width="10" style="4" customWidth="1"/>
    <col min="8" max="8" width="11" style="4" customWidth="1"/>
    <col min="9" max="9" width="8" style="4" customWidth="1"/>
    <col min="10" max="10" width="11" style="4" customWidth="1"/>
    <col min="11" max="12" width="8.7265625" style="4" customWidth="1"/>
    <col min="13" max="16384" width="8.7265625" style="4"/>
  </cols>
  <sheetData>
    <row r="1" spans="1:10" ht="21" customHeight="1" x14ac:dyDescent="0.35">
      <c r="A1" s="81" t="s">
        <v>237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x14ac:dyDescent="0.35">
      <c r="A2" s="32" t="s">
        <v>32</v>
      </c>
      <c r="B2" s="32" t="s">
        <v>229</v>
      </c>
      <c r="C2" s="32" t="s">
        <v>238</v>
      </c>
      <c r="D2" s="32" t="s">
        <v>231</v>
      </c>
      <c r="E2" s="32" t="s">
        <v>239</v>
      </c>
      <c r="F2" s="32" t="s">
        <v>234</v>
      </c>
      <c r="G2" s="32" t="s">
        <v>240</v>
      </c>
      <c r="H2" s="32" t="s">
        <v>227</v>
      </c>
      <c r="I2" s="32" t="s">
        <v>161</v>
      </c>
      <c r="J2" s="32" t="s">
        <v>75</v>
      </c>
    </row>
    <row r="3" spans="1:10" ht="32" customHeight="1" x14ac:dyDescent="0.35">
      <c r="A3" s="33" t="s">
        <v>241</v>
      </c>
      <c r="B3" s="34">
        <v>1237</v>
      </c>
      <c r="C3" s="34">
        <v>1268</v>
      </c>
      <c r="D3" s="34">
        <v>454</v>
      </c>
      <c r="E3" s="34">
        <v>632</v>
      </c>
      <c r="F3" s="34">
        <v>1198</v>
      </c>
      <c r="G3" s="2" t="s">
        <v>231</v>
      </c>
      <c r="H3" s="2">
        <v>454</v>
      </c>
      <c r="I3" s="38">
        <v>5</v>
      </c>
      <c r="J3" s="39">
        <v>-38</v>
      </c>
    </row>
    <row r="4" spans="1:10" x14ac:dyDescent="0.35">
      <c r="A4" s="33" t="s">
        <v>242</v>
      </c>
      <c r="B4" s="34">
        <v>1370</v>
      </c>
      <c r="C4" s="34">
        <v>1490</v>
      </c>
      <c r="D4" s="34">
        <v>647</v>
      </c>
      <c r="E4" s="34">
        <v>820</v>
      </c>
      <c r="F4" s="34">
        <v>1286</v>
      </c>
      <c r="G4" s="2" t="s">
        <v>231</v>
      </c>
      <c r="H4" s="2">
        <v>647</v>
      </c>
      <c r="I4" s="38">
        <v>5</v>
      </c>
      <c r="J4" s="39">
        <v>-8.5</v>
      </c>
    </row>
    <row r="5" spans="1:10" x14ac:dyDescent="0.35">
      <c r="A5" s="33" t="s">
        <v>243</v>
      </c>
      <c r="B5" s="34">
        <v>1933</v>
      </c>
      <c r="C5" s="34">
        <v>1687</v>
      </c>
      <c r="D5" s="34">
        <v>676</v>
      </c>
      <c r="E5" s="34">
        <v>732</v>
      </c>
      <c r="F5" s="34">
        <v>698</v>
      </c>
      <c r="G5" s="2" t="s">
        <v>231</v>
      </c>
      <c r="H5" s="2">
        <v>676</v>
      </c>
      <c r="I5" s="38">
        <v>5</v>
      </c>
      <c r="J5" s="39">
        <v>-7.2</v>
      </c>
    </row>
    <row r="6" spans="1:10" x14ac:dyDescent="0.35">
      <c r="A6" s="33" t="s">
        <v>244</v>
      </c>
      <c r="B6" s="34">
        <v>356</v>
      </c>
      <c r="C6" s="34">
        <v>971</v>
      </c>
      <c r="D6" s="34">
        <v>1048</v>
      </c>
      <c r="E6" s="34">
        <v>1159</v>
      </c>
      <c r="F6" s="34">
        <v>1903</v>
      </c>
      <c r="G6" s="2" t="s">
        <v>229</v>
      </c>
      <c r="H6" s="2">
        <v>356</v>
      </c>
      <c r="I6" s="38">
        <v>5</v>
      </c>
      <c r="J6" s="35">
        <v>4.5</v>
      </c>
    </row>
    <row r="7" spans="1:10" x14ac:dyDescent="0.35">
      <c r="A7" s="33" t="s">
        <v>245</v>
      </c>
      <c r="B7" s="34">
        <v>2149</v>
      </c>
      <c r="C7" s="34">
        <v>2054</v>
      </c>
      <c r="D7" s="34">
        <v>1038</v>
      </c>
      <c r="E7" s="34">
        <v>1126</v>
      </c>
      <c r="F7" s="34">
        <v>1051</v>
      </c>
      <c r="G7" s="2" t="s">
        <v>231</v>
      </c>
      <c r="H7" s="2">
        <v>1038</v>
      </c>
      <c r="I7" s="38">
        <v>5</v>
      </c>
      <c r="J7" s="39">
        <v>-29.9</v>
      </c>
    </row>
    <row r="8" spans="1:10" x14ac:dyDescent="0.35">
      <c r="A8" s="33" t="s">
        <v>246</v>
      </c>
      <c r="B8" s="34">
        <v>2115</v>
      </c>
      <c r="C8" s="34">
        <v>1776</v>
      </c>
      <c r="D8" s="34">
        <v>801</v>
      </c>
      <c r="E8" s="34">
        <v>810</v>
      </c>
      <c r="F8" s="34">
        <v>540</v>
      </c>
      <c r="G8" s="2" t="s">
        <v>234</v>
      </c>
      <c r="H8" s="2">
        <v>540</v>
      </c>
      <c r="I8" s="40">
        <v>4</v>
      </c>
      <c r="J8" s="35">
        <v>3.5</v>
      </c>
    </row>
    <row r="9" spans="1:10" x14ac:dyDescent="0.35">
      <c r="A9" s="33" t="s">
        <v>247</v>
      </c>
      <c r="B9" s="34">
        <v>1777</v>
      </c>
      <c r="C9" s="34">
        <v>1475</v>
      </c>
      <c r="D9" s="34">
        <v>472</v>
      </c>
      <c r="E9" s="34">
        <v>517</v>
      </c>
      <c r="F9" s="34">
        <v>626</v>
      </c>
      <c r="G9" s="2" t="s">
        <v>231</v>
      </c>
      <c r="H9" s="2">
        <v>472</v>
      </c>
      <c r="I9" s="40">
        <v>4</v>
      </c>
      <c r="J9" s="35">
        <v>52.6</v>
      </c>
    </row>
    <row r="10" spans="1:10" x14ac:dyDescent="0.35">
      <c r="A10" s="33" t="s">
        <v>248</v>
      </c>
      <c r="B10" s="34">
        <v>964</v>
      </c>
      <c r="C10" s="34">
        <v>515</v>
      </c>
      <c r="D10" s="34">
        <v>1503</v>
      </c>
      <c r="E10" s="34">
        <v>1471</v>
      </c>
      <c r="F10" s="34">
        <v>2111</v>
      </c>
      <c r="G10" s="2" t="s">
        <v>238</v>
      </c>
      <c r="H10" s="2">
        <v>515</v>
      </c>
      <c r="I10" s="41">
        <v>3</v>
      </c>
      <c r="J10" s="39">
        <v>-15</v>
      </c>
    </row>
    <row r="11" spans="1:10" x14ac:dyDescent="0.35">
      <c r="A11" s="33" t="s">
        <v>249</v>
      </c>
      <c r="B11" s="34">
        <v>832</v>
      </c>
      <c r="C11" s="34">
        <v>621</v>
      </c>
      <c r="D11" s="34">
        <v>557</v>
      </c>
      <c r="E11" s="34">
        <v>615</v>
      </c>
      <c r="F11" s="34">
        <v>1367</v>
      </c>
      <c r="G11" s="2" t="s">
        <v>231</v>
      </c>
      <c r="H11" s="2">
        <v>557</v>
      </c>
      <c r="I11" s="41">
        <v>3</v>
      </c>
      <c r="J11" s="39">
        <v>-75</v>
      </c>
    </row>
    <row r="12" spans="1:10" x14ac:dyDescent="0.35">
      <c r="A12" s="33" t="s">
        <v>250</v>
      </c>
      <c r="B12" s="34">
        <v>2592</v>
      </c>
      <c r="C12" s="34">
        <v>1977</v>
      </c>
      <c r="D12" s="34">
        <v>1248</v>
      </c>
      <c r="E12" s="34">
        <v>1150</v>
      </c>
      <c r="F12" s="34">
        <v>399</v>
      </c>
      <c r="G12" s="2" t="s">
        <v>234</v>
      </c>
      <c r="H12" s="2">
        <v>399</v>
      </c>
      <c r="I12" s="42">
        <v>2</v>
      </c>
      <c r="J12" s="39">
        <v>-8.5</v>
      </c>
    </row>
    <row r="13" spans="1:10" x14ac:dyDescent="0.35">
      <c r="A13" s="33" t="s">
        <v>251</v>
      </c>
      <c r="B13" s="34">
        <v>1524</v>
      </c>
      <c r="C13" s="34">
        <v>876</v>
      </c>
      <c r="D13" s="34">
        <v>412</v>
      </c>
      <c r="E13" s="34">
        <v>238</v>
      </c>
      <c r="F13" s="34">
        <v>729</v>
      </c>
      <c r="G13" s="2" t="s">
        <v>239</v>
      </c>
      <c r="H13" s="2">
        <v>238</v>
      </c>
      <c r="I13" s="42">
        <v>2</v>
      </c>
      <c r="J13" s="39">
        <v>-50</v>
      </c>
    </row>
    <row r="14" spans="1:10" x14ac:dyDescent="0.35">
      <c r="A14" s="33" t="s">
        <v>252</v>
      </c>
      <c r="B14" s="34">
        <v>1981</v>
      </c>
      <c r="C14" s="34">
        <v>1418</v>
      </c>
      <c r="D14" s="34">
        <v>643</v>
      </c>
      <c r="E14" s="34">
        <v>539</v>
      </c>
      <c r="F14" s="34">
        <v>215</v>
      </c>
      <c r="G14" s="2" t="s">
        <v>234</v>
      </c>
      <c r="H14" s="2">
        <v>215</v>
      </c>
      <c r="I14" s="43">
        <v>1</v>
      </c>
      <c r="J14" s="39">
        <v>-22</v>
      </c>
    </row>
    <row r="15" spans="1:10" x14ac:dyDescent="0.35">
      <c r="A15" s="33" t="s">
        <v>253</v>
      </c>
      <c r="B15" s="34">
        <v>2046</v>
      </c>
      <c r="C15" s="34">
        <v>1506</v>
      </c>
      <c r="D15" s="34">
        <v>698</v>
      </c>
      <c r="E15" s="34">
        <v>610</v>
      </c>
      <c r="F15" s="34">
        <v>173</v>
      </c>
      <c r="G15" s="2" t="s">
        <v>234</v>
      </c>
      <c r="H15" s="2">
        <v>173</v>
      </c>
      <c r="I15" s="43">
        <v>1</v>
      </c>
      <c r="J15" s="39">
        <v>-18.5</v>
      </c>
    </row>
    <row r="16" spans="1:10" x14ac:dyDescent="0.35">
      <c r="A16" s="33" t="s">
        <v>254</v>
      </c>
      <c r="B16" s="34">
        <v>2195</v>
      </c>
      <c r="C16" s="34">
        <v>1598</v>
      </c>
      <c r="D16" s="34">
        <v>858</v>
      </c>
      <c r="E16" s="34">
        <v>752</v>
      </c>
      <c r="F16" s="34">
        <v>0</v>
      </c>
      <c r="G16" s="2" t="s">
        <v>234</v>
      </c>
      <c r="H16" s="2">
        <v>0</v>
      </c>
      <c r="I16" s="43">
        <v>1</v>
      </c>
      <c r="J16" s="39">
        <v>-12</v>
      </c>
    </row>
  </sheetData>
  <mergeCells count="1">
    <mergeCell ref="A1:J1"/>
  </mergeCells>
  <conditionalFormatting sqref="B3:B16">
    <cfRule type="colorScale" priority="1">
      <colorScale>
        <cfvo type="min"/>
        <cfvo type="percentile" val="50"/>
        <cfvo type="max"/>
        <color rgb="FF16A34A"/>
        <color rgb="FFFBBF24"/>
        <color rgb="FFDC2626"/>
      </colorScale>
    </cfRule>
  </conditionalFormatting>
  <conditionalFormatting sqref="C3:C16">
    <cfRule type="colorScale" priority="2">
      <colorScale>
        <cfvo type="min"/>
        <cfvo type="percentile" val="50"/>
        <cfvo type="max"/>
        <color rgb="FF16A34A"/>
        <color rgb="FFFBBF24"/>
        <color rgb="FFDC2626"/>
      </colorScale>
    </cfRule>
  </conditionalFormatting>
  <conditionalFormatting sqref="D3:D16">
    <cfRule type="colorScale" priority="3">
      <colorScale>
        <cfvo type="min"/>
        <cfvo type="percentile" val="50"/>
        <cfvo type="max"/>
        <color rgb="FF16A34A"/>
        <color rgb="FFFBBF24"/>
        <color rgb="FFDC2626"/>
      </colorScale>
    </cfRule>
  </conditionalFormatting>
  <conditionalFormatting sqref="E3:E16">
    <cfRule type="colorScale" priority="4">
      <colorScale>
        <cfvo type="min"/>
        <cfvo type="percentile" val="50"/>
        <cfvo type="max"/>
        <color rgb="FF16A34A"/>
        <color rgb="FFFBBF24"/>
        <color rgb="FFDC2626"/>
      </colorScale>
    </cfRule>
  </conditionalFormatting>
  <conditionalFormatting sqref="F3:F16">
    <cfRule type="colorScale" priority="5">
      <colorScale>
        <cfvo type="min"/>
        <cfvo type="percentile" val="50"/>
        <cfvo type="max"/>
        <color rgb="FF16A34A"/>
        <color rgb="FFFBBF24"/>
        <color rgb="FFDC262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4"/>
  <sheetViews>
    <sheetView workbookViewId="0">
      <pane ySplit="1" topLeftCell="A2" activePane="bottomLeft" state="frozen"/>
      <selection pane="bottomLeft" activeCell="D4" sqref="D4"/>
    </sheetView>
  </sheetViews>
  <sheetFormatPr defaultRowHeight="15.5" x14ac:dyDescent="0.35"/>
  <cols>
    <col min="1" max="1" width="38" style="4" customWidth="1"/>
    <col min="2" max="4" width="12" style="4" customWidth="1"/>
    <col min="5" max="5" width="10" style="4" customWidth="1"/>
    <col min="6" max="6" width="12" style="4" customWidth="1"/>
    <col min="7" max="7" width="10" style="4" customWidth="1"/>
    <col min="8" max="8" width="8" style="4" customWidth="1"/>
    <col min="9" max="10" width="8.7265625" style="4" customWidth="1"/>
    <col min="11" max="16384" width="8.7265625" style="4"/>
  </cols>
  <sheetData>
    <row r="1" spans="1:8" ht="32" customHeight="1" x14ac:dyDescent="0.35">
      <c r="A1" s="32" t="s">
        <v>73</v>
      </c>
      <c r="B1" s="32" t="s">
        <v>255</v>
      </c>
      <c r="C1" s="32" t="s">
        <v>256</v>
      </c>
      <c r="D1" s="32" t="s">
        <v>257</v>
      </c>
      <c r="E1" s="32" t="s">
        <v>258</v>
      </c>
      <c r="F1" s="32" t="s">
        <v>259</v>
      </c>
      <c r="G1" s="32" t="s">
        <v>260</v>
      </c>
      <c r="H1" s="32" t="s">
        <v>161</v>
      </c>
    </row>
    <row r="2" spans="1:8" x14ac:dyDescent="0.35">
      <c r="A2" s="34" t="s">
        <v>261</v>
      </c>
      <c r="B2" s="34">
        <v>760.1</v>
      </c>
      <c r="C2" s="34">
        <v>146.19999999999999</v>
      </c>
      <c r="D2" s="34">
        <v>2201</v>
      </c>
      <c r="E2" s="44">
        <v>39</v>
      </c>
      <c r="F2" s="34">
        <v>419.9</v>
      </c>
      <c r="G2" s="34">
        <v>613.9</v>
      </c>
      <c r="H2" s="45">
        <v>5</v>
      </c>
    </row>
    <row r="3" spans="1:8" x14ac:dyDescent="0.35">
      <c r="A3" s="34" t="s">
        <v>262</v>
      </c>
      <c r="B3" s="34">
        <v>223.3</v>
      </c>
      <c r="C3" s="34">
        <v>55.4</v>
      </c>
      <c r="D3" s="34">
        <v>2233</v>
      </c>
      <c r="E3" s="44">
        <v>9</v>
      </c>
      <c r="F3" s="34">
        <v>303.10000000000002</v>
      </c>
      <c r="G3" s="34">
        <v>167.9</v>
      </c>
      <c r="H3" s="45">
        <v>5</v>
      </c>
    </row>
    <row r="4" spans="1:8" x14ac:dyDescent="0.35">
      <c r="A4" s="34" t="s">
        <v>263</v>
      </c>
      <c r="B4" s="34">
        <v>159.6</v>
      </c>
      <c r="C4" s="34">
        <v>263.10000000000002</v>
      </c>
      <c r="D4" s="34">
        <v>1596</v>
      </c>
      <c r="E4" s="46">
        <v>17</v>
      </c>
      <c r="F4" s="34">
        <v>-39.299999999999997</v>
      </c>
      <c r="G4" s="34">
        <v>-103.5</v>
      </c>
      <c r="H4" s="47">
        <v>1</v>
      </c>
    </row>
    <row r="5" spans="1:8" x14ac:dyDescent="0.35">
      <c r="A5" s="34" t="s">
        <v>264</v>
      </c>
      <c r="B5" s="34">
        <v>152.19999999999999</v>
      </c>
      <c r="C5" s="34">
        <v>212.7</v>
      </c>
      <c r="D5" s="34">
        <v>1522</v>
      </c>
      <c r="E5" s="46">
        <v>29</v>
      </c>
      <c r="F5" s="34">
        <v>-28.4</v>
      </c>
      <c r="G5" s="34">
        <v>-60.5</v>
      </c>
      <c r="H5" s="47">
        <v>1</v>
      </c>
    </row>
    <row r="6" spans="1:8" x14ac:dyDescent="0.35">
      <c r="A6" s="34" t="s">
        <v>265</v>
      </c>
      <c r="B6" s="34">
        <v>146.69999999999999</v>
      </c>
      <c r="C6" s="34">
        <v>380</v>
      </c>
      <c r="D6" s="34">
        <v>1467</v>
      </c>
      <c r="E6" s="46">
        <v>67</v>
      </c>
      <c r="F6" s="34">
        <v>-61.4</v>
      </c>
      <c r="G6" s="34">
        <v>-233.3</v>
      </c>
      <c r="H6" s="47">
        <v>1</v>
      </c>
    </row>
    <row r="7" spans="1:8" x14ac:dyDescent="0.35">
      <c r="A7" s="34" t="s">
        <v>266</v>
      </c>
      <c r="B7" s="34">
        <v>130</v>
      </c>
      <c r="C7" s="34">
        <v>15</v>
      </c>
      <c r="D7" s="34">
        <v>1300</v>
      </c>
      <c r="E7" s="44">
        <v>2</v>
      </c>
      <c r="F7" s="34">
        <v>766.7</v>
      </c>
      <c r="G7" s="34">
        <v>115</v>
      </c>
      <c r="H7" s="45">
        <v>5</v>
      </c>
    </row>
    <row r="8" spans="1:8" x14ac:dyDescent="0.35">
      <c r="A8" s="34" t="s">
        <v>267</v>
      </c>
      <c r="B8" s="34">
        <v>122.2</v>
      </c>
      <c r="C8" s="34">
        <v>185.3</v>
      </c>
      <c r="D8" s="34">
        <v>1222</v>
      </c>
      <c r="E8" s="46">
        <v>56</v>
      </c>
      <c r="F8" s="34">
        <v>-34.1</v>
      </c>
      <c r="G8" s="34">
        <v>-63.1</v>
      </c>
      <c r="H8" s="47">
        <v>1</v>
      </c>
    </row>
    <row r="9" spans="1:8" x14ac:dyDescent="0.35">
      <c r="A9" s="34" t="s">
        <v>268</v>
      </c>
      <c r="B9" s="34">
        <v>119.1</v>
      </c>
      <c r="C9" s="34">
        <v>203.5</v>
      </c>
      <c r="D9" s="34">
        <v>1191</v>
      </c>
      <c r="E9" s="46">
        <v>17</v>
      </c>
      <c r="F9" s="34">
        <v>-41.5</v>
      </c>
      <c r="G9" s="34">
        <v>-84.4</v>
      </c>
      <c r="H9" s="47">
        <v>1</v>
      </c>
    </row>
    <row r="10" spans="1:8" x14ac:dyDescent="0.35">
      <c r="A10" s="34" t="s">
        <v>269</v>
      </c>
      <c r="B10" s="34">
        <v>108.9</v>
      </c>
      <c r="C10" s="34">
        <v>133.4</v>
      </c>
      <c r="D10" s="34">
        <v>753</v>
      </c>
      <c r="E10" s="46">
        <v>17</v>
      </c>
      <c r="F10" s="34">
        <v>-18.399999999999999</v>
      </c>
      <c r="G10" s="34">
        <v>-24.5</v>
      </c>
      <c r="H10" s="48">
        <v>2</v>
      </c>
    </row>
    <row r="11" spans="1:8" x14ac:dyDescent="0.35">
      <c r="A11" s="34" t="s">
        <v>270</v>
      </c>
      <c r="B11" s="34">
        <v>94.6</v>
      </c>
      <c r="C11" s="34">
        <v>152.80000000000001</v>
      </c>
      <c r="D11" s="34">
        <v>946</v>
      </c>
      <c r="E11" s="46">
        <v>17</v>
      </c>
      <c r="F11" s="34">
        <v>-38.1</v>
      </c>
      <c r="G11" s="34">
        <v>-58.2</v>
      </c>
      <c r="H11" s="47">
        <v>1</v>
      </c>
    </row>
    <row r="12" spans="1:8" x14ac:dyDescent="0.35">
      <c r="A12" s="34" t="s">
        <v>271</v>
      </c>
      <c r="B12" s="34">
        <v>82.2</v>
      </c>
      <c r="C12" s="34">
        <v>175.3</v>
      </c>
      <c r="D12" s="34">
        <v>822</v>
      </c>
      <c r="E12" s="46">
        <v>13</v>
      </c>
      <c r="F12" s="34">
        <v>-53.1</v>
      </c>
      <c r="G12" s="34">
        <v>-93.1</v>
      </c>
      <c r="H12" s="47">
        <v>1</v>
      </c>
    </row>
    <row r="13" spans="1:8" x14ac:dyDescent="0.35">
      <c r="A13" s="34" t="s">
        <v>272</v>
      </c>
      <c r="B13" s="34">
        <v>79.7</v>
      </c>
      <c r="C13" s="34">
        <v>155.1</v>
      </c>
      <c r="D13" s="34">
        <v>797</v>
      </c>
      <c r="E13" s="46">
        <v>35</v>
      </c>
      <c r="F13" s="34">
        <v>-48.6</v>
      </c>
      <c r="G13" s="34">
        <v>-75.400000000000006</v>
      </c>
      <c r="H13" s="47">
        <v>1</v>
      </c>
    </row>
    <row r="14" spans="1:8" x14ac:dyDescent="0.35">
      <c r="A14" s="34" t="s">
        <v>273</v>
      </c>
      <c r="B14" s="34">
        <v>77.3</v>
      </c>
      <c r="C14" s="34">
        <v>186.1</v>
      </c>
      <c r="D14" s="34">
        <v>773</v>
      </c>
      <c r="E14" s="46">
        <v>8</v>
      </c>
      <c r="F14" s="34">
        <v>-58.5</v>
      </c>
      <c r="G14" s="34">
        <v>-108.8</v>
      </c>
      <c r="H14" s="47">
        <v>1</v>
      </c>
    </row>
    <row r="15" spans="1:8" x14ac:dyDescent="0.35">
      <c r="A15" s="34" t="s">
        <v>274</v>
      </c>
      <c r="B15" s="34">
        <v>69.8</v>
      </c>
      <c r="C15" s="34">
        <v>93.2</v>
      </c>
      <c r="D15" s="34">
        <v>698</v>
      </c>
      <c r="E15" s="46">
        <v>13</v>
      </c>
      <c r="F15" s="34">
        <v>-25.1</v>
      </c>
      <c r="G15" s="34">
        <v>-23.4</v>
      </c>
      <c r="H15" s="47">
        <v>1</v>
      </c>
    </row>
    <row r="16" spans="1:8" x14ac:dyDescent="0.35">
      <c r="A16" s="34" t="s">
        <v>275</v>
      </c>
      <c r="B16" s="34">
        <v>66.400000000000006</v>
      </c>
      <c r="C16" s="34">
        <v>96.7</v>
      </c>
      <c r="D16" s="34">
        <v>592</v>
      </c>
      <c r="E16" s="46">
        <v>20</v>
      </c>
      <c r="F16" s="34">
        <v>-31.3</v>
      </c>
      <c r="G16" s="34">
        <v>-30.3</v>
      </c>
      <c r="H16" s="47">
        <v>1</v>
      </c>
    </row>
    <row r="17" spans="1:8" x14ac:dyDescent="0.35">
      <c r="A17" s="34" t="s">
        <v>276</v>
      </c>
      <c r="B17" s="34">
        <v>63</v>
      </c>
      <c r="C17" s="34">
        <v>0</v>
      </c>
      <c r="D17" s="34">
        <v>630</v>
      </c>
      <c r="E17" s="34">
        <v>46</v>
      </c>
      <c r="F17" s="34"/>
      <c r="G17" s="34">
        <v>63</v>
      </c>
      <c r="H17" s="49">
        <v>3</v>
      </c>
    </row>
    <row r="18" spans="1:8" x14ac:dyDescent="0.35">
      <c r="A18" s="34" t="s">
        <v>277</v>
      </c>
      <c r="B18" s="34">
        <v>60.1</v>
      </c>
      <c r="C18" s="34">
        <v>115.8</v>
      </c>
      <c r="D18" s="34">
        <v>601</v>
      </c>
      <c r="E18" s="46">
        <v>10</v>
      </c>
      <c r="F18" s="34">
        <v>-48.1</v>
      </c>
      <c r="G18" s="34">
        <v>-55.7</v>
      </c>
      <c r="H18" s="47">
        <v>1</v>
      </c>
    </row>
    <row r="19" spans="1:8" x14ac:dyDescent="0.35">
      <c r="A19" s="34" t="s">
        <v>278</v>
      </c>
      <c r="B19" s="34">
        <v>57.8</v>
      </c>
      <c r="C19" s="34">
        <v>145.69999999999999</v>
      </c>
      <c r="D19" s="34">
        <v>578</v>
      </c>
      <c r="E19" s="46">
        <v>8</v>
      </c>
      <c r="F19" s="34">
        <v>-60.3</v>
      </c>
      <c r="G19" s="34">
        <v>-87.9</v>
      </c>
      <c r="H19" s="47">
        <v>1</v>
      </c>
    </row>
    <row r="20" spans="1:8" x14ac:dyDescent="0.35">
      <c r="A20" s="34" t="s">
        <v>279</v>
      </c>
      <c r="B20" s="34">
        <v>34</v>
      </c>
      <c r="C20" s="34">
        <v>48.5</v>
      </c>
      <c r="D20" s="34">
        <v>340</v>
      </c>
      <c r="E20" s="46">
        <v>1</v>
      </c>
      <c r="F20" s="34">
        <v>-29.9</v>
      </c>
      <c r="G20" s="34">
        <v>-14.5</v>
      </c>
      <c r="H20" s="47">
        <v>1</v>
      </c>
    </row>
    <row r="21" spans="1:8" x14ac:dyDescent="0.35">
      <c r="A21" s="34" t="s">
        <v>280</v>
      </c>
      <c r="B21" s="34">
        <v>32.4</v>
      </c>
      <c r="C21" s="34">
        <v>154.69999999999999</v>
      </c>
      <c r="D21" s="34">
        <v>324</v>
      </c>
      <c r="E21" s="46">
        <v>11</v>
      </c>
      <c r="F21" s="34">
        <v>-79.099999999999994</v>
      </c>
      <c r="G21" s="34">
        <v>-122.3</v>
      </c>
      <c r="H21" s="47">
        <v>1</v>
      </c>
    </row>
    <row r="22" spans="1:8" x14ac:dyDescent="0.35">
      <c r="A22" s="34" t="s">
        <v>281</v>
      </c>
      <c r="B22" s="34">
        <v>26.6</v>
      </c>
      <c r="C22" s="34">
        <v>12</v>
      </c>
      <c r="D22" s="34">
        <v>266</v>
      </c>
      <c r="E22" s="44">
        <v>3</v>
      </c>
      <c r="F22" s="34">
        <v>121.7</v>
      </c>
      <c r="G22" s="34">
        <v>14.6</v>
      </c>
      <c r="H22" s="45">
        <v>5</v>
      </c>
    </row>
    <row r="23" spans="1:8" x14ac:dyDescent="0.35">
      <c r="A23" s="34" t="s">
        <v>282</v>
      </c>
      <c r="B23" s="34">
        <v>26</v>
      </c>
      <c r="C23" s="34">
        <v>39.6</v>
      </c>
      <c r="D23" s="34">
        <v>212</v>
      </c>
      <c r="E23" s="46">
        <v>4</v>
      </c>
      <c r="F23" s="34">
        <v>-34.299999999999997</v>
      </c>
      <c r="G23" s="34">
        <v>-13.6</v>
      </c>
      <c r="H23" s="47">
        <v>1</v>
      </c>
    </row>
    <row r="24" spans="1:8" x14ac:dyDescent="0.35">
      <c r="A24" s="34" t="s">
        <v>283</v>
      </c>
      <c r="B24" s="34">
        <v>24.5</v>
      </c>
      <c r="C24" s="34">
        <v>50.7</v>
      </c>
      <c r="D24" s="34">
        <v>245</v>
      </c>
      <c r="E24" s="46">
        <v>1</v>
      </c>
      <c r="F24" s="34">
        <v>-51.7</v>
      </c>
      <c r="G24" s="34">
        <v>-26.2</v>
      </c>
      <c r="H24" s="47">
        <v>1</v>
      </c>
    </row>
    <row r="25" spans="1:8" x14ac:dyDescent="0.35">
      <c r="A25" s="34" t="s">
        <v>284</v>
      </c>
      <c r="B25" s="34">
        <v>21.1</v>
      </c>
      <c r="C25" s="34">
        <v>41.4</v>
      </c>
      <c r="D25" s="34">
        <v>211</v>
      </c>
      <c r="E25" s="46">
        <v>14</v>
      </c>
      <c r="F25" s="34">
        <v>-49</v>
      </c>
      <c r="G25" s="34">
        <v>-20.3</v>
      </c>
      <c r="H25" s="47">
        <v>1</v>
      </c>
    </row>
    <row r="26" spans="1:8" x14ac:dyDescent="0.35">
      <c r="A26" s="34" t="s">
        <v>285</v>
      </c>
      <c r="B26" s="34">
        <v>20.5</v>
      </c>
      <c r="C26" s="34">
        <v>23</v>
      </c>
      <c r="D26" s="34">
        <v>205</v>
      </c>
      <c r="E26" s="46">
        <v>1</v>
      </c>
      <c r="F26" s="34">
        <v>-10.9</v>
      </c>
      <c r="G26" s="34">
        <v>-2.5</v>
      </c>
      <c r="H26" s="48">
        <v>2</v>
      </c>
    </row>
    <row r="27" spans="1:8" x14ac:dyDescent="0.35">
      <c r="A27" s="34" t="s">
        <v>286</v>
      </c>
      <c r="B27" s="34">
        <v>20</v>
      </c>
      <c r="C27" s="34">
        <v>73</v>
      </c>
      <c r="D27" s="34">
        <v>200</v>
      </c>
      <c r="E27" s="46">
        <v>1</v>
      </c>
      <c r="F27" s="34">
        <v>-72.599999999999994</v>
      </c>
      <c r="G27" s="34">
        <v>-53</v>
      </c>
      <c r="H27" s="47">
        <v>1</v>
      </c>
    </row>
    <row r="28" spans="1:8" x14ac:dyDescent="0.35">
      <c r="A28" s="34" t="s">
        <v>287</v>
      </c>
      <c r="B28" s="34">
        <v>19.2</v>
      </c>
      <c r="C28" s="34">
        <v>0</v>
      </c>
      <c r="D28" s="34">
        <v>192</v>
      </c>
      <c r="E28" s="34">
        <v>2</v>
      </c>
      <c r="F28" s="34"/>
      <c r="G28" s="34">
        <v>19.2</v>
      </c>
      <c r="H28" s="49">
        <v>3</v>
      </c>
    </row>
    <row r="29" spans="1:8" x14ac:dyDescent="0.35">
      <c r="A29" s="34" t="s">
        <v>288</v>
      </c>
      <c r="B29" s="34">
        <v>10.7</v>
      </c>
      <c r="C29" s="34">
        <v>500.1</v>
      </c>
      <c r="D29" s="34">
        <v>107</v>
      </c>
      <c r="E29" s="46">
        <v>64</v>
      </c>
      <c r="F29" s="34">
        <v>-97.9</v>
      </c>
      <c r="G29" s="34">
        <v>-489.4</v>
      </c>
      <c r="H29" s="47">
        <v>1</v>
      </c>
    </row>
    <row r="30" spans="1:8" x14ac:dyDescent="0.35">
      <c r="A30" s="34" t="s">
        <v>289</v>
      </c>
      <c r="B30" s="34">
        <v>8.6</v>
      </c>
      <c r="C30" s="34">
        <v>4.7</v>
      </c>
      <c r="D30" s="34">
        <v>86</v>
      </c>
      <c r="E30" s="44">
        <v>8</v>
      </c>
      <c r="F30" s="34">
        <v>83</v>
      </c>
      <c r="G30" s="34">
        <v>3.9</v>
      </c>
      <c r="H30" s="45">
        <v>5</v>
      </c>
    </row>
    <row r="31" spans="1:8" x14ac:dyDescent="0.35">
      <c r="A31" s="34" t="s">
        <v>290</v>
      </c>
      <c r="B31" s="34">
        <v>8.1</v>
      </c>
      <c r="C31" s="34">
        <v>29.1</v>
      </c>
      <c r="D31" s="34">
        <v>81</v>
      </c>
      <c r="E31" s="46">
        <v>3</v>
      </c>
      <c r="F31" s="34">
        <v>-72.2</v>
      </c>
      <c r="G31" s="34">
        <v>-21</v>
      </c>
      <c r="H31" s="47">
        <v>1</v>
      </c>
    </row>
    <row r="32" spans="1:8" x14ac:dyDescent="0.35">
      <c r="A32" s="34" t="s">
        <v>291</v>
      </c>
      <c r="B32" s="34">
        <v>6.9</v>
      </c>
      <c r="C32" s="34">
        <v>16.8</v>
      </c>
      <c r="D32" s="34">
        <v>69</v>
      </c>
      <c r="E32" s="46">
        <v>1</v>
      </c>
      <c r="F32" s="34">
        <v>-58.9</v>
      </c>
      <c r="G32" s="34">
        <v>-9.9</v>
      </c>
      <c r="H32" s="47">
        <v>1</v>
      </c>
    </row>
    <row r="33" spans="1:8" x14ac:dyDescent="0.35">
      <c r="A33" s="34" t="s">
        <v>292</v>
      </c>
      <c r="B33" s="34">
        <v>6.8</v>
      </c>
      <c r="C33" s="34">
        <v>5.9</v>
      </c>
      <c r="D33" s="34">
        <v>68</v>
      </c>
      <c r="E33" s="44">
        <v>1</v>
      </c>
      <c r="F33" s="34">
        <v>15.3</v>
      </c>
      <c r="G33" s="34">
        <v>0.9</v>
      </c>
      <c r="H33" s="50">
        <v>4</v>
      </c>
    </row>
    <row r="34" spans="1:8" x14ac:dyDescent="0.35">
      <c r="A34" s="34" t="s">
        <v>293</v>
      </c>
      <c r="B34" s="34">
        <v>6.7</v>
      </c>
      <c r="C34" s="34">
        <v>0</v>
      </c>
      <c r="D34" s="34">
        <v>67</v>
      </c>
      <c r="E34" s="34">
        <v>1</v>
      </c>
      <c r="F34" s="34"/>
      <c r="G34" s="34">
        <v>6.7</v>
      </c>
      <c r="H34" s="49">
        <v>3</v>
      </c>
    </row>
    <row r="35" spans="1:8" x14ac:dyDescent="0.35">
      <c r="A35" s="34" t="s">
        <v>294</v>
      </c>
      <c r="B35" s="34">
        <v>5.9</v>
      </c>
      <c r="C35" s="34">
        <v>21</v>
      </c>
      <c r="D35" s="34">
        <v>59</v>
      </c>
      <c r="E35" s="46">
        <v>11</v>
      </c>
      <c r="F35" s="34">
        <v>-71.900000000000006</v>
      </c>
      <c r="G35" s="34">
        <v>-15.1</v>
      </c>
      <c r="H35" s="47">
        <v>1</v>
      </c>
    </row>
    <row r="36" spans="1:8" x14ac:dyDescent="0.35">
      <c r="A36" s="34" t="s">
        <v>295</v>
      </c>
      <c r="B36" s="34">
        <v>5.6</v>
      </c>
      <c r="C36" s="34">
        <v>12.8</v>
      </c>
      <c r="D36" s="34">
        <v>56</v>
      </c>
      <c r="E36" s="46">
        <v>3</v>
      </c>
      <c r="F36" s="34">
        <v>-56.2</v>
      </c>
      <c r="G36" s="34">
        <v>-7.2</v>
      </c>
      <c r="H36" s="47">
        <v>1</v>
      </c>
    </row>
    <row r="37" spans="1:8" x14ac:dyDescent="0.35">
      <c r="A37" s="34" t="s">
        <v>296</v>
      </c>
      <c r="B37" s="34">
        <v>4</v>
      </c>
      <c r="C37" s="34">
        <v>0</v>
      </c>
      <c r="D37" s="34">
        <v>40</v>
      </c>
      <c r="E37" s="34">
        <v>2</v>
      </c>
      <c r="F37" s="34"/>
      <c r="G37" s="34">
        <v>4</v>
      </c>
      <c r="H37" s="49">
        <v>3</v>
      </c>
    </row>
    <row r="38" spans="1:8" x14ac:dyDescent="0.35">
      <c r="A38" s="34" t="s">
        <v>297</v>
      </c>
      <c r="B38" s="34">
        <v>3</v>
      </c>
      <c r="C38" s="34">
        <v>0</v>
      </c>
      <c r="D38" s="34">
        <v>30</v>
      </c>
      <c r="E38" s="34">
        <v>1</v>
      </c>
      <c r="F38" s="34"/>
      <c r="G38" s="34">
        <v>3</v>
      </c>
      <c r="H38" s="49">
        <v>3</v>
      </c>
    </row>
    <row r="39" spans="1:8" x14ac:dyDescent="0.35">
      <c r="A39" s="34" t="s">
        <v>298</v>
      </c>
      <c r="B39" s="34">
        <v>2.5</v>
      </c>
      <c r="C39" s="34">
        <v>1.7</v>
      </c>
      <c r="D39" s="34">
        <v>25</v>
      </c>
      <c r="E39" s="44">
        <v>1</v>
      </c>
      <c r="F39" s="34">
        <v>47.1</v>
      </c>
      <c r="G39" s="34">
        <v>0.8</v>
      </c>
      <c r="H39" s="45">
        <v>5</v>
      </c>
    </row>
    <row r="40" spans="1:8" x14ac:dyDescent="0.35">
      <c r="A40" s="34" t="s">
        <v>299</v>
      </c>
      <c r="B40" s="34">
        <v>0.7</v>
      </c>
      <c r="C40" s="34">
        <v>39.4</v>
      </c>
      <c r="D40" s="34">
        <v>7</v>
      </c>
      <c r="E40" s="46">
        <v>4</v>
      </c>
      <c r="F40" s="34">
        <v>-98.2</v>
      </c>
      <c r="G40" s="34">
        <v>-38.700000000000003</v>
      </c>
      <c r="H40" s="47">
        <v>1</v>
      </c>
    </row>
    <row r="41" spans="1:8" x14ac:dyDescent="0.35">
      <c r="A41" s="34" t="s">
        <v>300</v>
      </c>
      <c r="B41" s="34">
        <v>0.1</v>
      </c>
      <c r="C41" s="34">
        <v>424.2</v>
      </c>
      <c r="D41" s="34">
        <v>1</v>
      </c>
      <c r="E41" s="46">
        <v>1</v>
      </c>
      <c r="F41" s="34">
        <v>-100</v>
      </c>
      <c r="G41" s="34">
        <v>-424.1</v>
      </c>
      <c r="H41" s="47">
        <v>1</v>
      </c>
    </row>
    <row r="42" spans="1:8" x14ac:dyDescent="0.35">
      <c r="A42" s="34" t="s">
        <v>301</v>
      </c>
      <c r="B42" s="34">
        <v>0</v>
      </c>
      <c r="C42" s="34">
        <v>0.4</v>
      </c>
      <c r="D42" s="34">
        <v>0</v>
      </c>
      <c r="E42" s="46">
        <v>0</v>
      </c>
      <c r="F42" s="34">
        <v>-100</v>
      </c>
      <c r="G42" s="34">
        <v>-0.4</v>
      </c>
      <c r="H42" s="47">
        <v>1</v>
      </c>
    </row>
    <row r="43" spans="1:8" x14ac:dyDescent="0.35">
      <c r="A43" s="34" t="s">
        <v>302</v>
      </c>
      <c r="B43" s="34">
        <v>0</v>
      </c>
      <c r="C43" s="34">
        <v>35.4</v>
      </c>
      <c r="D43" s="34">
        <v>0</v>
      </c>
      <c r="E43" s="46">
        <v>0</v>
      </c>
      <c r="F43" s="34">
        <v>-100</v>
      </c>
      <c r="G43" s="34">
        <v>-35.4</v>
      </c>
      <c r="H43" s="47">
        <v>1</v>
      </c>
    </row>
    <row r="44" spans="1:8" x14ac:dyDescent="0.35">
      <c r="A44" s="34" t="s">
        <v>303</v>
      </c>
      <c r="B44" s="34">
        <v>0</v>
      </c>
      <c r="C44" s="34">
        <v>2</v>
      </c>
      <c r="D44" s="34">
        <v>0</v>
      </c>
      <c r="E44" s="46">
        <v>0</v>
      </c>
      <c r="F44" s="34">
        <v>-100</v>
      </c>
      <c r="G44" s="34">
        <v>-2</v>
      </c>
      <c r="H44" s="47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8"/>
  <sheetViews>
    <sheetView workbookViewId="0">
      <pane ySplit="1" topLeftCell="A2" activePane="bottomLeft" state="frozen"/>
      <selection pane="bottomLeft" activeCell="J25" sqref="J25"/>
    </sheetView>
  </sheetViews>
  <sheetFormatPr defaultRowHeight="15.5" x14ac:dyDescent="0.35"/>
  <cols>
    <col min="1" max="1" width="47.1796875" style="4" customWidth="1"/>
    <col min="2" max="3" width="11" style="4" customWidth="1"/>
    <col min="4" max="4" width="12" style="4" customWidth="1"/>
    <col min="5" max="5" width="10" style="4" customWidth="1"/>
    <col min="6" max="6" width="8" style="4" customWidth="1"/>
    <col min="7" max="7" width="7" style="4" customWidth="1"/>
    <col min="8" max="9" width="8.7265625" style="4" customWidth="1"/>
    <col min="10" max="16384" width="8.7265625" style="4"/>
  </cols>
  <sheetData>
    <row r="1" spans="1:7" ht="32" customHeight="1" x14ac:dyDescent="0.35">
      <c r="A1" s="32" t="s">
        <v>304</v>
      </c>
      <c r="B1" s="32" t="s">
        <v>255</v>
      </c>
      <c r="C1" s="32" t="s">
        <v>256</v>
      </c>
      <c r="D1" s="32" t="s">
        <v>257</v>
      </c>
      <c r="E1" s="32" t="s">
        <v>258</v>
      </c>
      <c r="F1" s="32" t="s">
        <v>260</v>
      </c>
      <c r="G1" s="32" t="s">
        <v>161</v>
      </c>
    </row>
    <row r="2" spans="1:7" x14ac:dyDescent="0.35">
      <c r="A2" s="34" t="s">
        <v>305</v>
      </c>
      <c r="B2" s="34">
        <v>154.69999999999999</v>
      </c>
      <c r="C2" s="34">
        <v>214.4</v>
      </c>
      <c r="D2" s="34">
        <v>30</v>
      </c>
      <c r="E2" s="46">
        <v>-27.8</v>
      </c>
      <c r="F2" s="34">
        <v>-59.7</v>
      </c>
      <c r="G2" s="47">
        <v>1</v>
      </c>
    </row>
    <row r="3" spans="1:7" x14ac:dyDescent="0.35">
      <c r="A3" s="34" t="s">
        <v>306</v>
      </c>
      <c r="B3" s="34">
        <v>130</v>
      </c>
      <c r="C3" s="34">
        <v>19.7</v>
      </c>
      <c r="D3" s="34">
        <v>2</v>
      </c>
      <c r="E3" s="44">
        <v>559.9</v>
      </c>
      <c r="F3" s="34">
        <v>110.3</v>
      </c>
      <c r="G3" s="45">
        <v>5</v>
      </c>
    </row>
    <row r="4" spans="1:7" x14ac:dyDescent="0.35">
      <c r="A4" s="34" t="s">
        <v>307</v>
      </c>
      <c r="B4" s="34">
        <v>127.2</v>
      </c>
      <c r="C4" s="34">
        <v>6.8</v>
      </c>
      <c r="D4" s="34">
        <v>4</v>
      </c>
      <c r="E4" s="44">
        <v>1770.6</v>
      </c>
      <c r="F4" s="34">
        <v>120.4</v>
      </c>
      <c r="G4" s="45">
        <v>5</v>
      </c>
    </row>
    <row r="5" spans="1:7" x14ac:dyDescent="0.35">
      <c r="A5" s="34" t="s">
        <v>308</v>
      </c>
      <c r="B5" s="34">
        <v>120.5</v>
      </c>
      <c r="C5" s="34">
        <v>445.6</v>
      </c>
      <c r="D5" s="34">
        <v>68</v>
      </c>
      <c r="E5" s="46">
        <v>-73</v>
      </c>
      <c r="F5" s="34">
        <v>-325.10000000000002</v>
      </c>
      <c r="G5" s="47">
        <v>1</v>
      </c>
    </row>
    <row r="6" spans="1:7" x14ac:dyDescent="0.35">
      <c r="A6" s="34" t="s">
        <v>309</v>
      </c>
      <c r="B6" s="34">
        <v>119.8</v>
      </c>
      <c r="C6" s="34">
        <v>251.1</v>
      </c>
      <c r="D6" s="34">
        <v>52</v>
      </c>
      <c r="E6" s="46">
        <v>-52.3</v>
      </c>
      <c r="F6" s="34">
        <v>-131.30000000000001</v>
      </c>
      <c r="G6" s="47">
        <v>1</v>
      </c>
    </row>
    <row r="7" spans="1:7" x14ac:dyDescent="0.35">
      <c r="A7" s="34" t="s">
        <v>310</v>
      </c>
      <c r="B7" s="34">
        <v>104.2</v>
      </c>
      <c r="C7" s="34">
        <v>121.6</v>
      </c>
      <c r="D7" s="34">
        <v>16</v>
      </c>
      <c r="E7" s="46">
        <v>-14.3</v>
      </c>
      <c r="F7" s="34">
        <v>-17.399999999999999</v>
      </c>
      <c r="G7" s="48">
        <v>2</v>
      </c>
    </row>
    <row r="8" spans="1:7" x14ac:dyDescent="0.35">
      <c r="A8" s="34" t="s">
        <v>311</v>
      </c>
      <c r="B8" s="34">
        <v>99.2</v>
      </c>
      <c r="C8" s="34">
        <v>208.1</v>
      </c>
      <c r="D8" s="34">
        <v>12</v>
      </c>
      <c r="E8" s="46">
        <v>-52.3</v>
      </c>
      <c r="F8" s="34">
        <v>-108.9</v>
      </c>
      <c r="G8" s="47">
        <v>1</v>
      </c>
    </row>
    <row r="9" spans="1:7" x14ac:dyDescent="0.35">
      <c r="A9" s="34" t="s">
        <v>312</v>
      </c>
      <c r="B9" s="34">
        <v>76.400000000000006</v>
      </c>
      <c r="C9" s="34">
        <v>158.30000000000001</v>
      </c>
      <c r="D9" s="34">
        <v>12</v>
      </c>
      <c r="E9" s="46">
        <v>-51.7</v>
      </c>
      <c r="F9" s="34">
        <v>-81.900000000000006</v>
      </c>
      <c r="G9" s="47">
        <v>1</v>
      </c>
    </row>
    <row r="10" spans="1:7" x14ac:dyDescent="0.35">
      <c r="A10" s="34" t="s">
        <v>313</v>
      </c>
      <c r="B10" s="34">
        <v>70.7</v>
      </c>
      <c r="C10" s="34">
        <v>173.1</v>
      </c>
      <c r="D10" s="34">
        <v>7</v>
      </c>
      <c r="E10" s="46">
        <v>-59.2</v>
      </c>
      <c r="F10" s="34">
        <v>-102.4</v>
      </c>
      <c r="G10" s="47">
        <v>1</v>
      </c>
    </row>
    <row r="11" spans="1:7" x14ac:dyDescent="0.35">
      <c r="A11" s="34" t="s">
        <v>314</v>
      </c>
      <c r="B11" s="34">
        <v>63</v>
      </c>
      <c r="C11" s="34">
        <v>80.7</v>
      </c>
      <c r="D11" s="34">
        <v>9</v>
      </c>
      <c r="E11" s="46">
        <v>-21.9</v>
      </c>
      <c r="F11" s="34">
        <v>-17.7</v>
      </c>
      <c r="G11" s="47">
        <v>1</v>
      </c>
    </row>
    <row r="12" spans="1:7" x14ac:dyDescent="0.35">
      <c r="A12" s="34" t="s">
        <v>315</v>
      </c>
      <c r="B12" s="34">
        <v>63</v>
      </c>
      <c r="C12" s="34">
        <v>0</v>
      </c>
      <c r="D12" s="34">
        <v>46</v>
      </c>
      <c r="E12" s="34"/>
      <c r="F12" s="34">
        <v>63</v>
      </c>
      <c r="G12" s="49">
        <v>3</v>
      </c>
    </row>
    <row r="13" spans="1:7" x14ac:dyDescent="0.35">
      <c r="A13" s="34" t="s">
        <v>316</v>
      </c>
      <c r="B13" s="34">
        <v>60.4</v>
      </c>
      <c r="C13" s="34">
        <v>55</v>
      </c>
      <c r="D13" s="34">
        <v>5</v>
      </c>
      <c r="E13" s="44">
        <v>9.8000000000000007</v>
      </c>
      <c r="F13" s="34">
        <v>5.4</v>
      </c>
      <c r="G13" s="50">
        <v>4</v>
      </c>
    </row>
    <row r="14" spans="1:7" x14ac:dyDescent="0.35">
      <c r="A14" s="34" t="s">
        <v>317</v>
      </c>
      <c r="B14" s="34">
        <v>60.1</v>
      </c>
      <c r="C14" s="34">
        <v>115.8</v>
      </c>
      <c r="D14" s="34">
        <v>10</v>
      </c>
      <c r="E14" s="46">
        <v>-48.1</v>
      </c>
      <c r="F14" s="34">
        <v>-55.7</v>
      </c>
      <c r="G14" s="47">
        <v>1</v>
      </c>
    </row>
    <row r="15" spans="1:7" x14ac:dyDescent="0.35">
      <c r="A15" s="34" t="s">
        <v>318</v>
      </c>
      <c r="B15" s="34">
        <v>56</v>
      </c>
      <c r="C15" s="34">
        <v>79</v>
      </c>
      <c r="D15" s="34">
        <v>11</v>
      </c>
      <c r="E15" s="46">
        <v>-29.1</v>
      </c>
      <c r="F15" s="34">
        <v>-23</v>
      </c>
      <c r="G15" s="47">
        <v>1</v>
      </c>
    </row>
    <row r="16" spans="1:7" x14ac:dyDescent="0.35">
      <c r="A16" s="34" t="s">
        <v>319</v>
      </c>
      <c r="B16" s="34">
        <v>44.4</v>
      </c>
      <c r="C16" s="34">
        <v>56.2</v>
      </c>
      <c r="D16" s="34">
        <v>12</v>
      </c>
      <c r="E16" s="46">
        <v>-21</v>
      </c>
      <c r="F16" s="34">
        <v>-11.8</v>
      </c>
      <c r="G16" s="47">
        <v>1</v>
      </c>
    </row>
    <row r="17" spans="1:7" x14ac:dyDescent="0.35">
      <c r="A17" s="34" t="s">
        <v>320</v>
      </c>
      <c r="B17" s="34">
        <v>40</v>
      </c>
      <c r="C17" s="34">
        <v>58.1</v>
      </c>
      <c r="D17" s="34">
        <v>22</v>
      </c>
      <c r="E17" s="46">
        <v>-31.2</v>
      </c>
      <c r="F17" s="34">
        <v>-18.100000000000001</v>
      </c>
      <c r="G17" s="47">
        <v>1</v>
      </c>
    </row>
    <row r="18" spans="1:7" x14ac:dyDescent="0.35">
      <c r="A18" s="34" t="s">
        <v>321</v>
      </c>
      <c r="B18" s="34">
        <v>39.6</v>
      </c>
      <c r="C18" s="34">
        <v>59.6</v>
      </c>
      <c r="D18" s="34">
        <v>2</v>
      </c>
      <c r="E18" s="46">
        <v>-33.6</v>
      </c>
      <c r="F18" s="34">
        <v>-20</v>
      </c>
      <c r="G18" s="47">
        <v>1</v>
      </c>
    </row>
    <row r="19" spans="1:7" x14ac:dyDescent="0.35">
      <c r="A19" s="34" t="s">
        <v>322</v>
      </c>
      <c r="B19" s="34">
        <v>38.4</v>
      </c>
      <c r="C19" s="34">
        <v>203.8</v>
      </c>
      <c r="D19" s="34">
        <v>5</v>
      </c>
      <c r="E19" s="46">
        <v>-81.2</v>
      </c>
      <c r="F19" s="34">
        <v>-165.4</v>
      </c>
      <c r="G19" s="47">
        <v>1</v>
      </c>
    </row>
    <row r="20" spans="1:7" x14ac:dyDescent="0.35">
      <c r="A20" s="34" t="s">
        <v>323</v>
      </c>
      <c r="B20" s="34">
        <v>36.4</v>
      </c>
      <c r="C20" s="34">
        <v>61.9</v>
      </c>
      <c r="D20" s="34">
        <v>14</v>
      </c>
      <c r="E20" s="46">
        <v>-41.2</v>
      </c>
      <c r="F20" s="34">
        <v>-25.5</v>
      </c>
      <c r="G20" s="47">
        <v>1</v>
      </c>
    </row>
    <row r="21" spans="1:7" x14ac:dyDescent="0.35">
      <c r="A21" s="34" t="s">
        <v>324</v>
      </c>
      <c r="B21" s="34">
        <v>34</v>
      </c>
      <c r="C21" s="34">
        <v>48.5</v>
      </c>
      <c r="D21" s="34">
        <v>1</v>
      </c>
      <c r="E21" s="46">
        <v>-29.9</v>
      </c>
      <c r="F21" s="34">
        <v>-14.5</v>
      </c>
      <c r="G21" s="47">
        <v>1</v>
      </c>
    </row>
    <row r="22" spans="1:7" x14ac:dyDescent="0.35">
      <c r="A22" s="34" t="s">
        <v>325</v>
      </c>
      <c r="B22" s="34">
        <v>32.5</v>
      </c>
      <c r="C22" s="34">
        <v>65.400000000000006</v>
      </c>
      <c r="D22" s="34">
        <v>4</v>
      </c>
      <c r="E22" s="46">
        <v>-50.3</v>
      </c>
      <c r="F22" s="34">
        <v>-32.9</v>
      </c>
      <c r="G22" s="47">
        <v>1</v>
      </c>
    </row>
    <row r="23" spans="1:7" x14ac:dyDescent="0.35">
      <c r="A23" s="34" t="s">
        <v>326</v>
      </c>
      <c r="B23" s="34">
        <v>31.3</v>
      </c>
      <c r="C23" s="34">
        <v>77.3</v>
      </c>
      <c r="D23" s="34">
        <v>5</v>
      </c>
      <c r="E23" s="46">
        <v>-59.5</v>
      </c>
      <c r="F23" s="34">
        <v>-46</v>
      </c>
      <c r="G23" s="47">
        <v>1</v>
      </c>
    </row>
    <row r="24" spans="1:7" x14ac:dyDescent="0.35">
      <c r="A24" s="34" t="s">
        <v>327</v>
      </c>
      <c r="B24" s="34">
        <v>26.6</v>
      </c>
      <c r="C24" s="34">
        <v>12</v>
      </c>
      <c r="D24" s="34">
        <v>3</v>
      </c>
      <c r="E24" s="44">
        <v>121.7</v>
      </c>
      <c r="F24" s="34">
        <v>14.6</v>
      </c>
      <c r="G24" s="45">
        <v>5</v>
      </c>
    </row>
    <row r="25" spans="1:7" x14ac:dyDescent="0.35">
      <c r="A25" s="34" t="s">
        <v>328</v>
      </c>
      <c r="B25" s="34">
        <v>24.5</v>
      </c>
      <c r="C25" s="34">
        <v>50.7</v>
      </c>
      <c r="D25" s="34">
        <v>1</v>
      </c>
      <c r="E25" s="46">
        <v>-51.7</v>
      </c>
      <c r="F25" s="34">
        <v>-26.2</v>
      </c>
      <c r="G25" s="47">
        <v>1</v>
      </c>
    </row>
    <row r="26" spans="1:7" x14ac:dyDescent="0.35">
      <c r="A26" s="34" t="s">
        <v>329</v>
      </c>
      <c r="B26" s="34">
        <v>21.1</v>
      </c>
      <c r="C26" s="34">
        <v>56.5</v>
      </c>
      <c r="D26" s="34">
        <v>2</v>
      </c>
      <c r="E26" s="46">
        <v>-62.7</v>
      </c>
      <c r="F26" s="34">
        <v>-35.4</v>
      </c>
      <c r="G26" s="47">
        <v>1</v>
      </c>
    </row>
    <row r="27" spans="1:7" x14ac:dyDescent="0.35">
      <c r="A27" s="34" t="s">
        <v>330</v>
      </c>
      <c r="B27" s="34">
        <v>20.9</v>
      </c>
      <c r="C27" s="34">
        <v>119.5</v>
      </c>
      <c r="D27" s="34">
        <v>7</v>
      </c>
      <c r="E27" s="46">
        <v>-82.5</v>
      </c>
      <c r="F27" s="34">
        <v>-98.6</v>
      </c>
      <c r="G27" s="47">
        <v>1</v>
      </c>
    </row>
    <row r="28" spans="1:7" x14ac:dyDescent="0.35">
      <c r="A28" s="34" t="s">
        <v>331</v>
      </c>
      <c r="B28" s="34">
        <v>20.5</v>
      </c>
      <c r="C28" s="34">
        <v>23</v>
      </c>
      <c r="D28" s="34">
        <v>1</v>
      </c>
      <c r="E28" s="46">
        <v>-10.9</v>
      </c>
      <c r="F28" s="34">
        <v>-2.5</v>
      </c>
      <c r="G28" s="48">
        <v>2</v>
      </c>
    </row>
    <row r="29" spans="1:7" x14ac:dyDescent="0.35">
      <c r="A29" s="34" t="s">
        <v>332</v>
      </c>
      <c r="B29" s="34">
        <v>20.5</v>
      </c>
      <c r="C29" s="34">
        <v>52.6</v>
      </c>
      <c r="D29" s="34">
        <v>7</v>
      </c>
      <c r="E29" s="46">
        <v>-61</v>
      </c>
      <c r="F29" s="34">
        <v>-32.1</v>
      </c>
      <c r="G29" s="47">
        <v>1</v>
      </c>
    </row>
    <row r="30" spans="1:7" x14ac:dyDescent="0.35">
      <c r="A30" s="34" t="s">
        <v>333</v>
      </c>
      <c r="B30" s="34">
        <v>20</v>
      </c>
      <c r="C30" s="34">
        <v>73</v>
      </c>
      <c r="D30" s="34">
        <v>1</v>
      </c>
      <c r="E30" s="46">
        <v>-72.599999999999994</v>
      </c>
      <c r="F30" s="34">
        <v>-53</v>
      </c>
      <c r="G30" s="47">
        <v>1</v>
      </c>
    </row>
    <row r="31" spans="1:7" x14ac:dyDescent="0.35">
      <c r="A31" s="34" t="s">
        <v>334</v>
      </c>
      <c r="B31" s="34">
        <v>20</v>
      </c>
      <c r="C31" s="34">
        <v>36.6</v>
      </c>
      <c r="D31" s="34">
        <v>1</v>
      </c>
      <c r="E31" s="46">
        <v>-45.4</v>
      </c>
      <c r="F31" s="34">
        <v>-16.600000000000001</v>
      </c>
      <c r="G31" s="47">
        <v>1</v>
      </c>
    </row>
    <row r="32" spans="1:7" x14ac:dyDescent="0.35">
      <c r="A32" s="34" t="s">
        <v>335</v>
      </c>
      <c r="B32" s="34">
        <v>19.600000000000001</v>
      </c>
      <c r="C32" s="34">
        <v>0.1</v>
      </c>
      <c r="D32" s="34">
        <v>4</v>
      </c>
      <c r="E32" s="44">
        <v>19500</v>
      </c>
      <c r="F32" s="34">
        <v>19.5</v>
      </c>
      <c r="G32" s="45">
        <v>5</v>
      </c>
    </row>
    <row r="33" spans="1:7" x14ac:dyDescent="0.35">
      <c r="A33" s="34" t="s">
        <v>336</v>
      </c>
      <c r="B33" s="34">
        <v>19.2</v>
      </c>
      <c r="C33" s="34">
        <v>0</v>
      </c>
      <c r="D33" s="34">
        <v>2</v>
      </c>
      <c r="E33" s="34"/>
      <c r="F33" s="34">
        <v>19.2</v>
      </c>
      <c r="G33" s="49">
        <v>3</v>
      </c>
    </row>
    <row r="34" spans="1:7" x14ac:dyDescent="0.35">
      <c r="A34" s="34" t="s">
        <v>337</v>
      </c>
      <c r="B34" s="34">
        <v>18.3</v>
      </c>
      <c r="C34" s="34">
        <v>48.6</v>
      </c>
      <c r="D34" s="34">
        <v>4</v>
      </c>
      <c r="E34" s="46">
        <v>-62.3</v>
      </c>
      <c r="F34" s="34">
        <v>-30.3</v>
      </c>
      <c r="G34" s="47">
        <v>1</v>
      </c>
    </row>
    <row r="35" spans="1:7" x14ac:dyDescent="0.35">
      <c r="A35" s="34" t="s">
        <v>338</v>
      </c>
      <c r="B35" s="34">
        <v>18</v>
      </c>
      <c r="C35" s="34">
        <v>32.4</v>
      </c>
      <c r="D35" s="34">
        <v>1</v>
      </c>
      <c r="E35" s="46">
        <v>-44.4</v>
      </c>
      <c r="F35" s="34">
        <v>-14.4</v>
      </c>
      <c r="G35" s="47">
        <v>1</v>
      </c>
    </row>
    <row r="36" spans="1:7" x14ac:dyDescent="0.35">
      <c r="A36" s="34" t="s">
        <v>339</v>
      </c>
      <c r="B36" s="34">
        <v>17.7</v>
      </c>
      <c r="C36" s="34">
        <v>76.099999999999994</v>
      </c>
      <c r="D36" s="34">
        <v>5</v>
      </c>
      <c r="E36" s="46">
        <v>-76.7</v>
      </c>
      <c r="F36" s="34">
        <v>-58.4</v>
      </c>
      <c r="G36" s="47">
        <v>1</v>
      </c>
    </row>
    <row r="37" spans="1:7" x14ac:dyDescent="0.35">
      <c r="A37" s="34" t="s">
        <v>340</v>
      </c>
      <c r="B37" s="34">
        <v>17.5</v>
      </c>
      <c r="C37" s="34">
        <v>36</v>
      </c>
      <c r="D37" s="34">
        <v>7</v>
      </c>
      <c r="E37" s="46">
        <v>-51.4</v>
      </c>
      <c r="F37" s="34">
        <v>-18.5</v>
      </c>
      <c r="G37" s="47">
        <v>1</v>
      </c>
    </row>
    <row r="38" spans="1:7" x14ac:dyDescent="0.35">
      <c r="A38" s="34" t="s">
        <v>341</v>
      </c>
      <c r="B38" s="34">
        <v>16.899999999999999</v>
      </c>
      <c r="C38" s="34">
        <v>33</v>
      </c>
      <c r="D38" s="34">
        <v>9</v>
      </c>
      <c r="E38" s="46">
        <v>-48.8</v>
      </c>
      <c r="F38" s="34">
        <v>-16.100000000000001</v>
      </c>
      <c r="G38" s="47">
        <v>1</v>
      </c>
    </row>
    <row r="39" spans="1:7" x14ac:dyDescent="0.35">
      <c r="A39" s="34" t="s">
        <v>342</v>
      </c>
      <c r="B39" s="34">
        <v>12.9</v>
      </c>
      <c r="C39" s="34">
        <v>25.2</v>
      </c>
      <c r="D39" s="34">
        <v>3</v>
      </c>
      <c r="E39" s="46">
        <v>-48.8</v>
      </c>
      <c r="F39" s="34">
        <v>-12.3</v>
      </c>
      <c r="G39" s="47">
        <v>1</v>
      </c>
    </row>
    <row r="40" spans="1:7" x14ac:dyDescent="0.35">
      <c r="A40" s="34" t="s">
        <v>343</v>
      </c>
      <c r="B40" s="34">
        <v>10.6</v>
      </c>
      <c r="C40" s="34">
        <v>34.6</v>
      </c>
      <c r="D40" s="34">
        <v>3</v>
      </c>
      <c r="E40" s="46">
        <v>-69.400000000000006</v>
      </c>
      <c r="F40" s="34">
        <v>-24</v>
      </c>
      <c r="G40" s="47">
        <v>1</v>
      </c>
    </row>
    <row r="41" spans="1:7" x14ac:dyDescent="0.35">
      <c r="A41" s="34" t="s">
        <v>344</v>
      </c>
      <c r="B41" s="34">
        <v>10.4</v>
      </c>
      <c r="C41" s="34">
        <v>48.2</v>
      </c>
      <c r="D41" s="34">
        <v>3</v>
      </c>
      <c r="E41" s="46">
        <v>-78.400000000000006</v>
      </c>
      <c r="F41" s="34">
        <v>-37.799999999999997</v>
      </c>
      <c r="G41" s="47">
        <v>1</v>
      </c>
    </row>
    <row r="42" spans="1:7" x14ac:dyDescent="0.35">
      <c r="A42" s="34" t="s">
        <v>345</v>
      </c>
      <c r="B42" s="34">
        <v>9.6</v>
      </c>
      <c r="C42" s="34">
        <v>20.6</v>
      </c>
      <c r="D42" s="34">
        <v>3</v>
      </c>
      <c r="E42" s="46">
        <v>-53.4</v>
      </c>
      <c r="F42" s="34">
        <v>-11</v>
      </c>
      <c r="G42" s="47">
        <v>1</v>
      </c>
    </row>
    <row r="43" spans="1:7" x14ac:dyDescent="0.35">
      <c r="A43" s="34" t="s">
        <v>346</v>
      </c>
      <c r="B43" s="34">
        <v>9.4</v>
      </c>
      <c r="C43" s="34">
        <v>15.4</v>
      </c>
      <c r="D43" s="34">
        <v>6</v>
      </c>
      <c r="E43" s="46">
        <v>-39</v>
      </c>
      <c r="F43" s="34">
        <v>-6</v>
      </c>
      <c r="G43" s="47">
        <v>1</v>
      </c>
    </row>
    <row r="44" spans="1:7" x14ac:dyDescent="0.35">
      <c r="A44" s="34" t="s">
        <v>347</v>
      </c>
      <c r="B44" s="34">
        <v>9.1</v>
      </c>
      <c r="C44" s="34">
        <v>33.9</v>
      </c>
      <c r="D44" s="34">
        <v>2</v>
      </c>
      <c r="E44" s="46">
        <v>-73.2</v>
      </c>
      <c r="F44" s="34">
        <v>-24.8</v>
      </c>
      <c r="G44" s="47">
        <v>1</v>
      </c>
    </row>
    <row r="45" spans="1:7" x14ac:dyDescent="0.35">
      <c r="A45" s="34" t="s">
        <v>348</v>
      </c>
      <c r="B45" s="34">
        <v>8.6</v>
      </c>
      <c r="C45" s="34">
        <v>16.899999999999999</v>
      </c>
      <c r="D45" s="34">
        <v>2</v>
      </c>
      <c r="E45" s="46">
        <v>-49.1</v>
      </c>
      <c r="F45" s="34">
        <v>-8.3000000000000007</v>
      </c>
      <c r="G45" s="47">
        <v>1</v>
      </c>
    </row>
    <row r="46" spans="1:7" x14ac:dyDescent="0.35">
      <c r="A46" s="34" t="s">
        <v>349</v>
      </c>
      <c r="B46" s="34">
        <v>7.7</v>
      </c>
      <c r="C46" s="34">
        <v>24</v>
      </c>
      <c r="D46" s="34">
        <v>4</v>
      </c>
      <c r="E46" s="46">
        <v>-67.900000000000006</v>
      </c>
      <c r="F46" s="34">
        <v>-16.3</v>
      </c>
      <c r="G46" s="47">
        <v>1</v>
      </c>
    </row>
    <row r="47" spans="1:7" x14ac:dyDescent="0.35">
      <c r="A47" s="34" t="s">
        <v>350</v>
      </c>
      <c r="B47" s="34">
        <v>6.9</v>
      </c>
      <c r="C47" s="34">
        <v>16.8</v>
      </c>
      <c r="D47" s="34">
        <v>1</v>
      </c>
      <c r="E47" s="46">
        <v>-58.9</v>
      </c>
      <c r="F47" s="34">
        <v>-9.9</v>
      </c>
      <c r="G47" s="47">
        <v>1</v>
      </c>
    </row>
    <row r="48" spans="1:7" x14ac:dyDescent="0.35">
      <c r="A48" s="34" t="s">
        <v>351</v>
      </c>
      <c r="B48" s="34">
        <v>6.9</v>
      </c>
      <c r="C48" s="34">
        <v>127.5</v>
      </c>
      <c r="D48" s="34">
        <v>28</v>
      </c>
      <c r="E48" s="46">
        <v>-94.6</v>
      </c>
      <c r="F48" s="34">
        <v>-120.6</v>
      </c>
      <c r="G48" s="47">
        <v>1</v>
      </c>
    </row>
    <row r="49" spans="1:7" x14ac:dyDescent="0.35">
      <c r="A49" s="34" t="s">
        <v>352</v>
      </c>
      <c r="B49" s="34">
        <v>6.8</v>
      </c>
      <c r="C49" s="34">
        <v>57.6</v>
      </c>
      <c r="D49" s="34">
        <v>1</v>
      </c>
      <c r="E49" s="46">
        <v>-88.2</v>
      </c>
      <c r="F49" s="34">
        <v>-50.8</v>
      </c>
      <c r="G49" s="47">
        <v>1</v>
      </c>
    </row>
    <row r="50" spans="1:7" x14ac:dyDescent="0.35">
      <c r="A50" s="34" t="s">
        <v>353</v>
      </c>
      <c r="B50" s="34">
        <v>6.8</v>
      </c>
      <c r="C50" s="34">
        <v>15.1</v>
      </c>
      <c r="D50" s="34">
        <v>4</v>
      </c>
      <c r="E50" s="46">
        <v>-55</v>
      </c>
      <c r="F50" s="34">
        <v>-8.3000000000000007</v>
      </c>
      <c r="G50" s="47">
        <v>1</v>
      </c>
    </row>
    <row r="51" spans="1:7" x14ac:dyDescent="0.35">
      <c r="A51" s="34" t="s">
        <v>354</v>
      </c>
      <c r="B51" s="34">
        <v>6.7</v>
      </c>
      <c r="C51" s="34">
        <v>16.8</v>
      </c>
      <c r="D51" s="34">
        <v>4</v>
      </c>
      <c r="E51" s="46">
        <v>-60.1</v>
      </c>
      <c r="F51" s="34">
        <v>-10.1</v>
      </c>
      <c r="G51" s="47">
        <v>1</v>
      </c>
    </row>
    <row r="52" spans="1:7" x14ac:dyDescent="0.35">
      <c r="A52" s="34" t="s">
        <v>355</v>
      </c>
      <c r="B52" s="34">
        <v>6.7</v>
      </c>
      <c r="C52" s="34">
        <v>12.6</v>
      </c>
      <c r="D52" s="34">
        <v>2</v>
      </c>
      <c r="E52" s="46">
        <v>-46.8</v>
      </c>
      <c r="F52" s="34">
        <v>-5.9</v>
      </c>
      <c r="G52" s="47">
        <v>1</v>
      </c>
    </row>
    <row r="53" spans="1:7" x14ac:dyDescent="0.35">
      <c r="A53" s="34" t="s">
        <v>356</v>
      </c>
      <c r="B53" s="34">
        <v>6.4</v>
      </c>
      <c r="C53" s="34">
        <v>167.7</v>
      </c>
      <c r="D53" s="34">
        <v>5</v>
      </c>
      <c r="E53" s="46">
        <v>-96.2</v>
      </c>
      <c r="F53" s="34">
        <v>-161.30000000000001</v>
      </c>
      <c r="G53" s="47">
        <v>1</v>
      </c>
    </row>
    <row r="54" spans="1:7" x14ac:dyDescent="0.35">
      <c r="A54" s="34" t="s">
        <v>357</v>
      </c>
      <c r="B54" s="34">
        <v>6.2</v>
      </c>
      <c r="C54" s="34">
        <v>9.3000000000000007</v>
      </c>
      <c r="D54" s="34">
        <v>1</v>
      </c>
      <c r="E54" s="46">
        <v>-33.299999999999997</v>
      </c>
      <c r="F54" s="34">
        <v>-3.1</v>
      </c>
      <c r="G54" s="47">
        <v>1</v>
      </c>
    </row>
    <row r="55" spans="1:7" x14ac:dyDescent="0.35">
      <c r="A55" s="34" t="s">
        <v>358</v>
      </c>
      <c r="B55" s="34">
        <v>5.6</v>
      </c>
      <c r="C55" s="34">
        <v>2</v>
      </c>
      <c r="D55" s="34">
        <v>1</v>
      </c>
      <c r="E55" s="44">
        <v>180</v>
      </c>
      <c r="F55" s="34">
        <v>3.6</v>
      </c>
      <c r="G55" s="45">
        <v>5</v>
      </c>
    </row>
    <row r="56" spans="1:7" x14ac:dyDescent="0.35">
      <c r="A56" s="34" t="s">
        <v>359</v>
      </c>
      <c r="B56" s="34">
        <v>5.4</v>
      </c>
      <c r="C56" s="34">
        <v>8.5</v>
      </c>
      <c r="D56" s="34">
        <v>3</v>
      </c>
      <c r="E56" s="46">
        <v>-36.5</v>
      </c>
      <c r="F56" s="34">
        <v>-3.1</v>
      </c>
      <c r="G56" s="47">
        <v>1</v>
      </c>
    </row>
    <row r="57" spans="1:7" x14ac:dyDescent="0.35">
      <c r="A57" s="34" t="s">
        <v>360</v>
      </c>
      <c r="B57" s="34">
        <v>5.3</v>
      </c>
      <c r="C57" s="34">
        <v>4.4000000000000004</v>
      </c>
      <c r="D57" s="34">
        <v>3</v>
      </c>
      <c r="E57" s="44">
        <v>20.5</v>
      </c>
      <c r="F57" s="34">
        <v>0.9</v>
      </c>
      <c r="G57" s="45">
        <v>5</v>
      </c>
    </row>
    <row r="58" spans="1:7" x14ac:dyDescent="0.35">
      <c r="A58" s="34" t="s">
        <v>361</v>
      </c>
      <c r="B58" s="34">
        <v>5.3</v>
      </c>
      <c r="C58" s="34">
        <v>112.1</v>
      </c>
      <c r="D58" s="34">
        <v>31</v>
      </c>
      <c r="E58" s="46">
        <v>-95.3</v>
      </c>
      <c r="F58" s="34">
        <v>-106.8</v>
      </c>
      <c r="G58" s="47">
        <v>1</v>
      </c>
    </row>
    <row r="59" spans="1:7" x14ac:dyDescent="0.35">
      <c r="A59" s="34" t="s">
        <v>362</v>
      </c>
      <c r="B59" s="34">
        <v>4.5</v>
      </c>
      <c r="C59" s="34">
        <v>2</v>
      </c>
      <c r="D59" s="34">
        <v>1</v>
      </c>
      <c r="E59" s="44">
        <v>125</v>
      </c>
      <c r="F59" s="34">
        <v>2.5</v>
      </c>
      <c r="G59" s="45">
        <v>5</v>
      </c>
    </row>
    <row r="60" spans="1:7" x14ac:dyDescent="0.35">
      <c r="A60" s="34" t="s">
        <v>363</v>
      </c>
      <c r="B60" s="34">
        <v>4.2</v>
      </c>
      <c r="C60" s="34">
        <v>8.4</v>
      </c>
      <c r="D60" s="34">
        <v>5</v>
      </c>
      <c r="E60" s="46">
        <v>-50</v>
      </c>
      <c r="F60" s="34">
        <v>-4.2</v>
      </c>
      <c r="G60" s="47">
        <v>1</v>
      </c>
    </row>
    <row r="61" spans="1:7" x14ac:dyDescent="0.35">
      <c r="A61" s="34" t="s">
        <v>364</v>
      </c>
      <c r="B61" s="34">
        <v>4</v>
      </c>
      <c r="C61" s="34">
        <v>0</v>
      </c>
      <c r="D61" s="34">
        <v>2</v>
      </c>
      <c r="E61" s="34"/>
      <c r="F61" s="34">
        <v>4</v>
      </c>
      <c r="G61" s="49">
        <v>3</v>
      </c>
    </row>
    <row r="62" spans="1:7" x14ac:dyDescent="0.35">
      <c r="A62" s="34" t="s">
        <v>365</v>
      </c>
      <c r="B62" s="34">
        <v>3.4</v>
      </c>
      <c r="C62" s="34">
        <v>91.9</v>
      </c>
      <c r="D62" s="34">
        <v>12</v>
      </c>
      <c r="E62" s="46">
        <v>-96.3</v>
      </c>
      <c r="F62" s="34">
        <v>-88.5</v>
      </c>
      <c r="G62" s="47">
        <v>1</v>
      </c>
    </row>
    <row r="63" spans="1:7" x14ac:dyDescent="0.35">
      <c r="A63" s="34" t="s">
        <v>366</v>
      </c>
      <c r="B63" s="34">
        <v>3.2</v>
      </c>
      <c r="C63" s="34">
        <v>32.1</v>
      </c>
      <c r="D63" s="34">
        <v>1</v>
      </c>
      <c r="E63" s="46">
        <v>-90</v>
      </c>
      <c r="F63" s="34">
        <v>-28.9</v>
      </c>
      <c r="G63" s="47">
        <v>1</v>
      </c>
    </row>
    <row r="64" spans="1:7" x14ac:dyDescent="0.35">
      <c r="A64" s="34" t="s">
        <v>367</v>
      </c>
      <c r="B64" s="34">
        <v>3.2</v>
      </c>
      <c r="C64" s="34">
        <v>23.7</v>
      </c>
      <c r="D64" s="34">
        <v>2</v>
      </c>
      <c r="E64" s="46">
        <v>-86.5</v>
      </c>
      <c r="F64" s="34">
        <v>-20.5</v>
      </c>
      <c r="G64" s="47">
        <v>1</v>
      </c>
    </row>
    <row r="65" spans="1:7" x14ac:dyDescent="0.35">
      <c r="A65" s="34" t="s">
        <v>368</v>
      </c>
      <c r="B65" s="34">
        <v>3.1</v>
      </c>
      <c r="C65" s="34">
        <v>0</v>
      </c>
      <c r="D65" s="34">
        <v>1</v>
      </c>
      <c r="E65" s="34"/>
      <c r="F65" s="34">
        <v>3.1</v>
      </c>
      <c r="G65" s="49">
        <v>3</v>
      </c>
    </row>
    <row r="66" spans="1:7" x14ac:dyDescent="0.35">
      <c r="A66" s="34" t="s">
        <v>369</v>
      </c>
      <c r="B66" s="34">
        <v>2.1</v>
      </c>
      <c r="C66" s="34">
        <v>1.7</v>
      </c>
      <c r="D66" s="34">
        <v>4</v>
      </c>
      <c r="E66" s="44">
        <v>23.5</v>
      </c>
      <c r="F66" s="34">
        <v>0.4</v>
      </c>
      <c r="G66" s="45">
        <v>5</v>
      </c>
    </row>
    <row r="67" spans="1:7" x14ac:dyDescent="0.35">
      <c r="A67" s="34" t="s">
        <v>370</v>
      </c>
      <c r="B67" s="34">
        <v>1.3</v>
      </c>
      <c r="C67" s="34">
        <v>8.8000000000000007</v>
      </c>
      <c r="D67" s="34">
        <v>1</v>
      </c>
      <c r="E67" s="46">
        <v>-85.2</v>
      </c>
      <c r="F67" s="34">
        <v>-7.5</v>
      </c>
      <c r="G67" s="47">
        <v>1</v>
      </c>
    </row>
    <row r="68" spans="1:7" x14ac:dyDescent="0.35">
      <c r="A68" s="34" t="s">
        <v>371</v>
      </c>
      <c r="B68" s="34">
        <v>0.9</v>
      </c>
      <c r="C68" s="34">
        <v>1</v>
      </c>
      <c r="D68" s="34">
        <v>3</v>
      </c>
      <c r="E68" s="46">
        <v>-10</v>
      </c>
      <c r="F68" s="34">
        <v>-0.1</v>
      </c>
      <c r="G68" s="48">
        <v>2</v>
      </c>
    </row>
    <row r="69" spans="1:7" x14ac:dyDescent="0.35">
      <c r="A69" s="34" t="s">
        <v>372</v>
      </c>
      <c r="B69" s="34">
        <v>0.8</v>
      </c>
      <c r="C69" s="34">
        <v>11.3</v>
      </c>
      <c r="D69" s="34">
        <v>3</v>
      </c>
      <c r="E69" s="46">
        <v>-92.9</v>
      </c>
      <c r="F69" s="34">
        <v>-10.5</v>
      </c>
      <c r="G69" s="47">
        <v>1</v>
      </c>
    </row>
    <row r="70" spans="1:7" x14ac:dyDescent="0.35">
      <c r="A70" s="34" t="s">
        <v>373</v>
      </c>
      <c r="B70" s="34">
        <v>0.6</v>
      </c>
      <c r="C70" s="34">
        <v>34.799999999999997</v>
      </c>
      <c r="D70" s="34">
        <v>3</v>
      </c>
      <c r="E70" s="46">
        <v>-98.3</v>
      </c>
      <c r="F70" s="34">
        <v>-34.200000000000003</v>
      </c>
      <c r="G70" s="47">
        <v>1</v>
      </c>
    </row>
    <row r="71" spans="1:7" x14ac:dyDescent="0.35">
      <c r="A71" s="34" t="s">
        <v>374</v>
      </c>
      <c r="B71" s="34">
        <v>0.5</v>
      </c>
      <c r="C71" s="34">
        <v>2.4</v>
      </c>
      <c r="D71" s="34">
        <v>1</v>
      </c>
      <c r="E71" s="46">
        <v>-79.2</v>
      </c>
      <c r="F71" s="34">
        <v>-1.9</v>
      </c>
      <c r="G71" s="47">
        <v>1</v>
      </c>
    </row>
    <row r="72" spans="1:7" x14ac:dyDescent="0.35">
      <c r="A72" s="34" t="s">
        <v>375</v>
      </c>
      <c r="B72" s="34">
        <v>0.3</v>
      </c>
      <c r="C72" s="34">
        <v>0</v>
      </c>
      <c r="D72" s="34">
        <v>1</v>
      </c>
      <c r="E72" s="34"/>
      <c r="F72" s="34">
        <v>0.3</v>
      </c>
      <c r="G72" s="49">
        <v>3</v>
      </c>
    </row>
    <row r="73" spans="1:7" x14ac:dyDescent="0.35">
      <c r="A73" s="34" t="s">
        <v>376</v>
      </c>
      <c r="B73" s="34">
        <v>0.2</v>
      </c>
      <c r="C73" s="34">
        <v>0.3</v>
      </c>
      <c r="D73" s="34">
        <v>1</v>
      </c>
      <c r="E73" s="46">
        <v>-33.299999999999997</v>
      </c>
      <c r="F73" s="34">
        <v>-0.1</v>
      </c>
      <c r="G73" s="47">
        <v>1</v>
      </c>
    </row>
    <row r="74" spans="1:7" x14ac:dyDescent="0.35">
      <c r="A74" s="34" t="s">
        <v>377</v>
      </c>
      <c r="B74" s="34">
        <v>0.1</v>
      </c>
      <c r="C74" s="34">
        <v>14.1</v>
      </c>
      <c r="D74" s="34">
        <v>1</v>
      </c>
      <c r="E74" s="46">
        <v>-99.3</v>
      </c>
      <c r="F74" s="34">
        <v>-14</v>
      </c>
      <c r="G74" s="47">
        <v>1</v>
      </c>
    </row>
    <row r="75" spans="1:7" x14ac:dyDescent="0.35">
      <c r="A75" s="34" t="s">
        <v>378</v>
      </c>
      <c r="B75" s="34">
        <v>0</v>
      </c>
      <c r="C75" s="34">
        <v>2.7</v>
      </c>
      <c r="D75" s="34">
        <v>0</v>
      </c>
      <c r="E75" s="46">
        <v>-100</v>
      </c>
      <c r="F75" s="34">
        <v>-2.7</v>
      </c>
      <c r="G75" s="47">
        <v>1</v>
      </c>
    </row>
    <row r="76" spans="1:7" x14ac:dyDescent="0.35">
      <c r="A76" s="34" t="s">
        <v>379</v>
      </c>
      <c r="B76" s="34">
        <v>0</v>
      </c>
      <c r="C76" s="34">
        <v>0.8</v>
      </c>
      <c r="D76" s="34">
        <v>0</v>
      </c>
      <c r="E76" s="46">
        <v>-100</v>
      </c>
      <c r="F76" s="34">
        <v>-0.8</v>
      </c>
      <c r="G76" s="47">
        <v>1</v>
      </c>
    </row>
    <row r="77" spans="1:7" x14ac:dyDescent="0.35">
      <c r="A77" s="34" t="s">
        <v>380</v>
      </c>
      <c r="B77" s="34">
        <v>0</v>
      </c>
      <c r="C77" s="34">
        <v>2.6</v>
      </c>
      <c r="D77" s="34">
        <v>0</v>
      </c>
      <c r="E77" s="46">
        <v>-100</v>
      </c>
      <c r="F77" s="34">
        <v>-2.6</v>
      </c>
      <c r="G77" s="47">
        <v>1</v>
      </c>
    </row>
    <row r="78" spans="1:7" x14ac:dyDescent="0.35">
      <c r="A78" s="34" t="s">
        <v>381</v>
      </c>
      <c r="B78" s="34">
        <v>0</v>
      </c>
      <c r="C78" s="34">
        <v>0.2</v>
      </c>
      <c r="D78" s="34">
        <v>0</v>
      </c>
      <c r="E78" s="46">
        <v>-100</v>
      </c>
      <c r="F78" s="34">
        <v>-0.2</v>
      </c>
      <c r="G78" s="47">
        <v>1</v>
      </c>
    </row>
    <row r="79" spans="1:7" x14ac:dyDescent="0.35">
      <c r="A79" s="34" t="s">
        <v>382</v>
      </c>
      <c r="B79" s="34">
        <v>0</v>
      </c>
      <c r="C79" s="34">
        <v>6</v>
      </c>
      <c r="D79" s="34">
        <v>0</v>
      </c>
      <c r="E79" s="46">
        <v>-100</v>
      </c>
      <c r="F79" s="34">
        <v>-6</v>
      </c>
      <c r="G79" s="47">
        <v>1</v>
      </c>
    </row>
    <row r="80" spans="1:7" x14ac:dyDescent="0.35">
      <c r="A80" s="34" t="s">
        <v>383</v>
      </c>
      <c r="B80" s="34">
        <v>0</v>
      </c>
      <c r="C80" s="34">
        <v>0.6</v>
      </c>
      <c r="D80" s="34">
        <v>0</v>
      </c>
      <c r="E80" s="46">
        <v>-100</v>
      </c>
      <c r="F80" s="34">
        <v>-0.6</v>
      </c>
      <c r="G80" s="47">
        <v>1</v>
      </c>
    </row>
    <row r="81" spans="1:7" x14ac:dyDescent="0.35">
      <c r="A81" s="34" t="s">
        <v>384</v>
      </c>
      <c r="B81" s="34">
        <v>0</v>
      </c>
      <c r="C81" s="34">
        <v>2</v>
      </c>
      <c r="D81" s="34">
        <v>0</v>
      </c>
      <c r="E81" s="46">
        <v>-100</v>
      </c>
      <c r="F81" s="34">
        <v>-2</v>
      </c>
      <c r="G81" s="47">
        <v>1</v>
      </c>
    </row>
    <row r="82" spans="1:7" x14ac:dyDescent="0.35">
      <c r="A82" s="34" t="s">
        <v>385</v>
      </c>
      <c r="B82" s="34">
        <v>0</v>
      </c>
      <c r="C82" s="34">
        <v>0.5</v>
      </c>
      <c r="D82" s="34">
        <v>0</v>
      </c>
      <c r="E82" s="46">
        <v>-100</v>
      </c>
      <c r="F82" s="34">
        <v>-0.5</v>
      </c>
      <c r="G82" s="47">
        <v>1</v>
      </c>
    </row>
    <row r="83" spans="1:7" x14ac:dyDescent="0.35">
      <c r="A83" s="34" t="s">
        <v>386</v>
      </c>
      <c r="B83" s="34">
        <v>0</v>
      </c>
      <c r="C83" s="34">
        <v>0.3</v>
      </c>
      <c r="D83" s="34">
        <v>0</v>
      </c>
      <c r="E83" s="46">
        <v>-100</v>
      </c>
      <c r="F83" s="34">
        <v>-0.3</v>
      </c>
      <c r="G83" s="47">
        <v>1</v>
      </c>
    </row>
    <row r="84" spans="1:7" x14ac:dyDescent="0.35">
      <c r="A84" s="34" t="s">
        <v>387</v>
      </c>
      <c r="B84" s="34">
        <v>0</v>
      </c>
      <c r="C84" s="34">
        <v>0.1</v>
      </c>
      <c r="D84" s="34">
        <v>0</v>
      </c>
      <c r="E84" s="46">
        <v>-100</v>
      </c>
      <c r="F84" s="34">
        <v>-0.1</v>
      </c>
      <c r="G84" s="47">
        <v>1</v>
      </c>
    </row>
    <row r="85" spans="1:7" x14ac:dyDescent="0.35">
      <c r="A85" s="34" t="s">
        <v>388</v>
      </c>
      <c r="B85" s="34">
        <v>0</v>
      </c>
      <c r="C85" s="34">
        <v>2.8</v>
      </c>
      <c r="D85" s="34">
        <v>0</v>
      </c>
      <c r="E85" s="46">
        <v>-100</v>
      </c>
      <c r="F85" s="34">
        <v>-2.8</v>
      </c>
      <c r="G85" s="47">
        <v>1</v>
      </c>
    </row>
    <row r="86" spans="1:7" x14ac:dyDescent="0.35">
      <c r="A86" s="34" t="s">
        <v>389</v>
      </c>
      <c r="B86" s="34">
        <v>0</v>
      </c>
      <c r="C86" s="34">
        <v>2.1</v>
      </c>
      <c r="D86" s="34">
        <v>0</v>
      </c>
      <c r="E86" s="46">
        <v>-100</v>
      </c>
      <c r="F86" s="34">
        <v>-2.1</v>
      </c>
      <c r="G86" s="47">
        <v>1</v>
      </c>
    </row>
    <row r="87" spans="1:7" x14ac:dyDescent="0.35">
      <c r="A87" s="34" t="s">
        <v>390</v>
      </c>
      <c r="B87" s="34">
        <v>0</v>
      </c>
      <c r="C87" s="34">
        <v>0.3</v>
      </c>
      <c r="D87" s="34">
        <v>0</v>
      </c>
      <c r="E87" s="46">
        <v>-100</v>
      </c>
      <c r="F87" s="34">
        <v>-0.3</v>
      </c>
      <c r="G87" s="47">
        <v>1</v>
      </c>
    </row>
    <row r="88" spans="1:7" x14ac:dyDescent="0.35">
      <c r="A88" s="34" t="s">
        <v>391</v>
      </c>
      <c r="B88" s="34">
        <v>0</v>
      </c>
      <c r="C88" s="34">
        <v>0.6</v>
      </c>
      <c r="D88" s="34">
        <v>0</v>
      </c>
      <c r="E88" s="46">
        <v>-100</v>
      </c>
      <c r="F88" s="34">
        <v>-0.6</v>
      </c>
      <c r="G88" s="47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workbookViewId="0">
      <pane ySplit="1" topLeftCell="A2" activePane="bottomLeft" state="frozen"/>
      <selection pane="bottomLeft" activeCell="J12" sqref="J12"/>
    </sheetView>
  </sheetViews>
  <sheetFormatPr defaultRowHeight="15.5" x14ac:dyDescent="0.35"/>
  <cols>
    <col min="1" max="1" width="42.90625" style="4" customWidth="1"/>
    <col min="2" max="3" width="11" style="4" customWidth="1"/>
    <col min="4" max="4" width="12" style="4" customWidth="1"/>
    <col min="5" max="5" width="10" style="4" customWidth="1"/>
    <col min="6" max="6" width="8" style="4" customWidth="1"/>
    <col min="7" max="7" width="13" style="4" customWidth="1"/>
    <col min="8" max="8" width="7" style="4" customWidth="1"/>
    <col min="9" max="10" width="8.7265625" style="4" customWidth="1"/>
    <col min="11" max="16384" width="8.7265625" style="4"/>
  </cols>
  <sheetData>
    <row r="1" spans="1:8" ht="32" customHeight="1" x14ac:dyDescent="0.35">
      <c r="A1" s="32" t="s">
        <v>392</v>
      </c>
      <c r="B1" s="32" t="s">
        <v>255</v>
      </c>
      <c r="C1" s="32" t="s">
        <v>256</v>
      </c>
      <c r="D1" s="32" t="s">
        <v>257</v>
      </c>
      <c r="E1" s="32" t="s">
        <v>258</v>
      </c>
      <c r="F1" s="32" t="s">
        <v>260</v>
      </c>
      <c r="G1" s="32" t="s">
        <v>393</v>
      </c>
      <c r="H1" s="32" t="s">
        <v>161</v>
      </c>
    </row>
    <row r="2" spans="1:8" x14ac:dyDescent="0.35">
      <c r="A2" s="34" t="s">
        <v>394</v>
      </c>
      <c r="B2" s="34">
        <v>305</v>
      </c>
      <c r="C2" s="34">
        <v>851.7</v>
      </c>
      <c r="D2" s="34">
        <v>154</v>
      </c>
      <c r="E2" s="46">
        <v>8</v>
      </c>
      <c r="F2" s="34">
        <v>-64.2</v>
      </c>
      <c r="G2" s="34">
        <v>-546.70000000000005</v>
      </c>
      <c r="H2" s="47">
        <v>1</v>
      </c>
    </row>
    <row r="3" spans="1:8" x14ac:dyDescent="0.35">
      <c r="A3" s="34" t="s">
        <v>395</v>
      </c>
      <c r="B3" s="34">
        <v>210.9</v>
      </c>
      <c r="C3" s="34">
        <v>358.8</v>
      </c>
      <c r="D3" s="34">
        <v>23</v>
      </c>
      <c r="E3" s="46">
        <v>5</v>
      </c>
      <c r="F3" s="34">
        <v>-41.2</v>
      </c>
      <c r="G3" s="34">
        <v>-147.9</v>
      </c>
      <c r="H3" s="47">
        <v>1</v>
      </c>
    </row>
    <row r="4" spans="1:8" x14ac:dyDescent="0.35">
      <c r="A4" s="34" t="s">
        <v>396</v>
      </c>
      <c r="B4" s="34">
        <v>199.8</v>
      </c>
      <c r="C4" s="34">
        <v>161.5</v>
      </c>
      <c r="D4" s="34">
        <v>15</v>
      </c>
      <c r="E4" s="44">
        <v>5</v>
      </c>
      <c r="F4" s="34">
        <v>23.7</v>
      </c>
      <c r="G4" s="34">
        <v>38.299999999999997</v>
      </c>
      <c r="H4" s="45">
        <v>5</v>
      </c>
    </row>
    <row r="5" spans="1:8" x14ac:dyDescent="0.35">
      <c r="A5" s="34" t="s">
        <v>397</v>
      </c>
      <c r="B5" s="34">
        <v>197.3</v>
      </c>
      <c r="C5" s="34">
        <v>398.4</v>
      </c>
      <c r="D5" s="34">
        <v>33</v>
      </c>
      <c r="E5" s="46">
        <v>5</v>
      </c>
      <c r="F5" s="34">
        <v>-50.5</v>
      </c>
      <c r="G5" s="34">
        <v>-201.1</v>
      </c>
      <c r="H5" s="47">
        <v>1</v>
      </c>
    </row>
    <row r="6" spans="1:8" x14ac:dyDescent="0.35">
      <c r="A6" s="34" t="s">
        <v>398</v>
      </c>
      <c r="B6" s="34">
        <v>165.5</v>
      </c>
      <c r="C6" s="34">
        <v>92.8</v>
      </c>
      <c r="D6" s="34">
        <v>9</v>
      </c>
      <c r="E6" s="44">
        <v>4</v>
      </c>
      <c r="F6" s="34">
        <v>78.3</v>
      </c>
      <c r="G6" s="34">
        <v>72.7</v>
      </c>
      <c r="H6" s="45">
        <v>5</v>
      </c>
    </row>
    <row r="7" spans="1:8" x14ac:dyDescent="0.35">
      <c r="A7" s="34" t="s">
        <v>399</v>
      </c>
      <c r="B7" s="34">
        <v>163.9</v>
      </c>
      <c r="C7" s="34">
        <v>217.6</v>
      </c>
      <c r="D7" s="34">
        <v>20</v>
      </c>
      <c r="E7" s="46">
        <v>4</v>
      </c>
      <c r="F7" s="34">
        <v>-24.7</v>
      </c>
      <c r="G7" s="34">
        <v>-53.7</v>
      </c>
      <c r="H7" s="47">
        <v>1</v>
      </c>
    </row>
    <row r="8" spans="1:8" x14ac:dyDescent="0.35">
      <c r="A8" s="34" t="s">
        <v>400</v>
      </c>
      <c r="B8" s="34">
        <v>161.1</v>
      </c>
      <c r="C8" s="34">
        <v>384.7</v>
      </c>
      <c r="D8" s="34">
        <v>35</v>
      </c>
      <c r="E8" s="46">
        <v>3</v>
      </c>
      <c r="F8" s="34">
        <v>-58.1</v>
      </c>
      <c r="G8" s="34">
        <v>-223.6</v>
      </c>
      <c r="H8" s="47">
        <v>1</v>
      </c>
    </row>
    <row r="9" spans="1:8" x14ac:dyDescent="0.35">
      <c r="A9" s="34" t="s">
        <v>401</v>
      </c>
      <c r="B9" s="34">
        <v>135.5</v>
      </c>
      <c r="C9" s="34">
        <v>232.8</v>
      </c>
      <c r="D9" s="34">
        <v>20</v>
      </c>
      <c r="E9" s="46">
        <v>4</v>
      </c>
      <c r="F9" s="34">
        <v>-41.8</v>
      </c>
      <c r="G9" s="34">
        <v>-97.3</v>
      </c>
      <c r="H9" s="47">
        <v>1</v>
      </c>
    </row>
    <row r="10" spans="1:8" x14ac:dyDescent="0.35">
      <c r="A10" s="34" t="s">
        <v>402</v>
      </c>
      <c r="B10" s="34">
        <v>132.69999999999999</v>
      </c>
      <c r="C10" s="34">
        <v>235.5</v>
      </c>
      <c r="D10" s="34">
        <v>17</v>
      </c>
      <c r="E10" s="46">
        <v>6</v>
      </c>
      <c r="F10" s="34">
        <v>-43.7</v>
      </c>
      <c r="G10" s="34">
        <v>-102.8</v>
      </c>
      <c r="H10" s="47">
        <v>1</v>
      </c>
    </row>
    <row r="11" spans="1:8" x14ac:dyDescent="0.35">
      <c r="A11" s="34" t="s">
        <v>403</v>
      </c>
      <c r="B11" s="34">
        <v>100.8</v>
      </c>
      <c r="C11" s="34">
        <v>169.7</v>
      </c>
      <c r="D11" s="34">
        <v>18</v>
      </c>
      <c r="E11" s="46">
        <v>5</v>
      </c>
      <c r="F11" s="34">
        <v>-40.6</v>
      </c>
      <c r="G11" s="34">
        <v>-68.900000000000006</v>
      </c>
      <c r="H11" s="47">
        <v>1</v>
      </c>
    </row>
    <row r="12" spans="1:8" x14ac:dyDescent="0.35">
      <c r="A12" s="34" t="s">
        <v>404</v>
      </c>
      <c r="B12" s="34">
        <v>66</v>
      </c>
      <c r="C12" s="34">
        <v>2.7</v>
      </c>
      <c r="D12" s="34">
        <v>53</v>
      </c>
      <c r="E12" s="44">
        <v>3</v>
      </c>
      <c r="F12" s="34">
        <v>2344.4</v>
      </c>
      <c r="G12" s="34">
        <v>63.3</v>
      </c>
      <c r="H12" s="45">
        <v>5</v>
      </c>
    </row>
    <row r="13" spans="1:8" x14ac:dyDescent="0.35">
      <c r="A13" s="34" t="s">
        <v>405</v>
      </c>
      <c r="B13" s="34">
        <v>57.8</v>
      </c>
      <c r="C13" s="34">
        <v>98.5</v>
      </c>
      <c r="D13" s="34">
        <v>27</v>
      </c>
      <c r="E13" s="46">
        <v>4</v>
      </c>
      <c r="F13" s="34">
        <v>-41.3</v>
      </c>
      <c r="G13" s="34">
        <v>-40.700000000000003</v>
      </c>
      <c r="H13" s="47">
        <v>1</v>
      </c>
    </row>
    <row r="14" spans="1:8" x14ac:dyDescent="0.35">
      <c r="A14" s="34" t="s">
        <v>406</v>
      </c>
      <c r="B14" s="34">
        <v>49.8</v>
      </c>
      <c r="C14" s="34">
        <v>296.7</v>
      </c>
      <c r="D14" s="34">
        <v>11</v>
      </c>
      <c r="E14" s="46">
        <v>5</v>
      </c>
      <c r="F14" s="34">
        <v>-83.2</v>
      </c>
      <c r="G14" s="34">
        <v>-246.9</v>
      </c>
      <c r="H14" s="47">
        <v>1</v>
      </c>
    </row>
    <row r="15" spans="1:8" x14ac:dyDescent="0.35">
      <c r="A15" s="34" t="s">
        <v>407</v>
      </c>
      <c r="B15" s="34">
        <v>33.200000000000003</v>
      </c>
      <c r="C15" s="34">
        <v>384.3</v>
      </c>
      <c r="D15" s="34">
        <v>79</v>
      </c>
      <c r="E15" s="46">
        <v>6</v>
      </c>
      <c r="F15" s="34">
        <v>-91.4</v>
      </c>
      <c r="G15" s="34">
        <v>-351.1</v>
      </c>
      <c r="H15" s="47">
        <v>1</v>
      </c>
    </row>
    <row r="16" spans="1:8" x14ac:dyDescent="0.35">
      <c r="A16" s="34" t="s">
        <v>408</v>
      </c>
      <c r="B16" s="34">
        <v>31.9</v>
      </c>
      <c r="C16" s="34">
        <v>71.400000000000006</v>
      </c>
      <c r="D16" s="34">
        <v>19</v>
      </c>
      <c r="E16" s="46">
        <v>5</v>
      </c>
      <c r="F16" s="34">
        <v>-55.3</v>
      </c>
      <c r="G16" s="34">
        <v>-39.5</v>
      </c>
      <c r="H16" s="47">
        <v>1</v>
      </c>
    </row>
    <row r="17" spans="1:8" x14ac:dyDescent="0.35">
      <c r="A17" s="34" t="s">
        <v>409</v>
      </c>
      <c r="B17" s="34">
        <v>24.5</v>
      </c>
      <c r="C17" s="34">
        <v>50.7</v>
      </c>
      <c r="D17" s="34">
        <v>1</v>
      </c>
      <c r="E17" s="46">
        <v>1</v>
      </c>
      <c r="F17" s="34">
        <v>-51.7</v>
      </c>
      <c r="G17" s="34">
        <v>-26.2</v>
      </c>
      <c r="H17" s="47">
        <v>1</v>
      </c>
    </row>
    <row r="18" spans="1:8" x14ac:dyDescent="0.35">
      <c r="A18" s="34" t="s">
        <v>410</v>
      </c>
      <c r="B18" s="34">
        <v>20.9</v>
      </c>
      <c r="C18" s="34">
        <v>119.5</v>
      </c>
      <c r="D18" s="34">
        <v>7</v>
      </c>
      <c r="E18" s="46">
        <v>1</v>
      </c>
      <c r="F18" s="34">
        <v>-82.5</v>
      </c>
      <c r="G18" s="34">
        <v>-98.6</v>
      </c>
      <c r="H18" s="47">
        <v>1</v>
      </c>
    </row>
    <row r="19" spans="1:8" x14ac:dyDescent="0.35">
      <c r="A19" s="34" t="s">
        <v>344</v>
      </c>
      <c r="B19" s="34">
        <v>10.4</v>
      </c>
      <c r="C19" s="34">
        <v>48.2</v>
      </c>
      <c r="D19" s="34">
        <v>3</v>
      </c>
      <c r="E19" s="46">
        <v>1</v>
      </c>
      <c r="F19" s="34">
        <v>-78.400000000000006</v>
      </c>
      <c r="G19" s="34">
        <v>-37.799999999999997</v>
      </c>
      <c r="H19" s="47">
        <v>1</v>
      </c>
    </row>
    <row r="20" spans="1:8" x14ac:dyDescent="0.35">
      <c r="A20" s="34" t="s">
        <v>411</v>
      </c>
      <c r="B20" s="34">
        <v>6.8</v>
      </c>
      <c r="C20" s="34">
        <v>15.1</v>
      </c>
      <c r="D20" s="34">
        <v>4</v>
      </c>
      <c r="E20" s="46">
        <v>1</v>
      </c>
      <c r="F20" s="34">
        <v>-55</v>
      </c>
      <c r="G20" s="34">
        <v>-8.3000000000000007</v>
      </c>
      <c r="H20" s="47">
        <v>1</v>
      </c>
    </row>
    <row r="21" spans="1:8" x14ac:dyDescent="0.35">
      <c r="A21" s="34" t="s">
        <v>358</v>
      </c>
      <c r="B21" s="34">
        <v>5.6</v>
      </c>
      <c r="C21" s="34">
        <v>2</v>
      </c>
      <c r="D21" s="34">
        <v>1</v>
      </c>
      <c r="E21" s="44">
        <v>1</v>
      </c>
      <c r="F21" s="34">
        <v>180</v>
      </c>
      <c r="G21" s="34">
        <v>3.6</v>
      </c>
      <c r="H21" s="45">
        <v>5</v>
      </c>
    </row>
    <row r="22" spans="1:8" x14ac:dyDescent="0.35">
      <c r="A22" s="34" t="s">
        <v>359</v>
      </c>
      <c r="B22" s="34">
        <v>5.4</v>
      </c>
      <c r="C22" s="34">
        <v>8.5</v>
      </c>
      <c r="D22" s="34">
        <v>3</v>
      </c>
      <c r="E22" s="46">
        <v>1</v>
      </c>
      <c r="F22" s="34">
        <v>-36.5</v>
      </c>
      <c r="G22" s="34">
        <v>-3.1</v>
      </c>
      <c r="H22" s="47">
        <v>1</v>
      </c>
    </row>
    <row r="23" spans="1:8" x14ac:dyDescent="0.35">
      <c r="A23" s="34" t="s">
        <v>412</v>
      </c>
      <c r="B23" s="34">
        <v>3.2</v>
      </c>
      <c r="C23" s="34">
        <v>23.7</v>
      </c>
      <c r="D23" s="34">
        <v>2</v>
      </c>
      <c r="E23" s="46">
        <v>1</v>
      </c>
      <c r="F23" s="34">
        <v>-86.5</v>
      </c>
      <c r="G23" s="34">
        <v>-20.5</v>
      </c>
      <c r="H23" s="47">
        <v>1</v>
      </c>
    </row>
    <row r="24" spans="1:8" x14ac:dyDescent="0.35">
      <c r="A24" s="34" t="s">
        <v>413</v>
      </c>
      <c r="B24" s="34">
        <v>0.5</v>
      </c>
      <c r="C24" s="34">
        <v>2.4</v>
      </c>
      <c r="D24" s="34">
        <v>1</v>
      </c>
      <c r="E24" s="46">
        <v>1</v>
      </c>
      <c r="F24" s="34">
        <v>-79.2</v>
      </c>
      <c r="G24" s="34">
        <v>-1.9</v>
      </c>
      <c r="H24" s="47">
        <v>1</v>
      </c>
    </row>
    <row r="25" spans="1:8" x14ac:dyDescent="0.35">
      <c r="A25" s="34" t="s">
        <v>414</v>
      </c>
      <c r="B25" s="34">
        <v>0.3</v>
      </c>
      <c r="C25" s="34">
        <v>0</v>
      </c>
      <c r="D25" s="34">
        <v>1</v>
      </c>
      <c r="E25" s="34">
        <v>1</v>
      </c>
      <c r="F25" s="34"/>
      <c r="G25" s="34">
        <v>0.3</v>
      </c>
      <c r="H25" s="49">
        <v>3</v>
      </c>
    </row>
    <row r="26" spans="1:8" x14ac:dyDescent="0.35">
      <c r="A26" s="34" t="s">
        <v>386</v>
      </c>
      <c r="B26" s="34">
        <v>0</v>
      </c>
      <c r="C26" s="34">
        <v>0.3</v>
      </c>
      <c r="D26" s="34">
        <v>0</v>
      </c>
      <c r="E26" s="46">
        <v>1</v>
      </c>
      <c r="F26" s="34">
        <v>-100</v>
      </c>
      <c r="G26" s="34">
        <v>-0.3</v>
      </c>
      <c r="H26" s="47">
        <v>1</v>
      </c>
    </row>
    <row r="27" spans="1:8" x14ac:dyDescent="0.35">
      <c r="A27" s="34" t="s">
        <v>387</v>
      </c>
      <c r="B27" s="34">
        <v>0</v>
      </c>
      <c r="C27" s="34">
        <v>0.1</v>
      </c>
      <c r="D27" s="34">
        <v>0</v>
      </c>
      <c r="E27" s="46">
        <v>1</v>
      </c>
      <c r="F27" s="34">
        <v>-100</v>
      </c>
      <c r="G27" s="34">
        <v>-0.1</v>
      </c>
      <c r="H27" s="47">
        <v>1</v>
      </c>
    </row>
    <row r="28" spans="1:8" x14ac:dyDescent="0.35">
      <c r="A28" s="34" t="s">
        <v>388</v>
      </c>
      <c r="B28" s="34">
        <v>0</v>
      </c>
      <c r="C28" s="34">
        <v>2.8</v>
      </c>
      <c r="D28" s="34">
        <v>0</v>
      </c>
      <c r="E28" s="46">
        <v>1</v>
      </c>
      <c r="F28" s="34">
        <v>-100</v>
      </c>
      <c r="G28" s="34">
        <v>-2.8</v>
      </c>
      <c r="H28" s="47">
        <v>1</v>
      </c>
    </row>
    <row r="29" spans="1:8" x14ac:dyDescent="0.35">
      <c r="A29" s="34" t="s">
        <v>415</v>
      </c>
      <c r="B29" s="34">
        <v>0</v>
      </c>
      <c r="C29" s="34">
        <v>2.1</v>
      </c>
      <c r="D29" s="34">
        <v>0</v>
      </c>
      <c r="E29" s="46">
        <v>1</v>
      </c>
      <c r="F29" s="34">
        <v>-100</v>
      </c>
      <c r="G29" s="34">
        <v>-2.1</v>
      </c>
      <c r="H29" s="47">
        <v>1</v>
      </c>
    </row>
    <row r="30" spans="1:8" x14ac:dyDescent="0.35">
      <c r="A30" s="34" t="s">
        <v>390</v>
      </c>
      <c r="B30" s="34">
        <v>0</v>
      </c>
      <c r="C30" s="34">
        <v>0.3</v>
      </c>
      <c r="D30" s="34">
        <v>0</v>
      </c>
      <c r="E30" s="46">
        <v>1</v>
      </c>
      <c r="F30" s="34">
        <v>-100</v>
      </c>
      <c r="G30" s="34">
        <v>-0.3</v>
      </c>
      <c r="H30" s="47">
        <v>1</v>
      </c>
    </row>
    <row r="31" spans="1:8" x14ac:dyDescent="0.35">
      <c r="A31" s="34" t="s">
        <v>391</v>
      </c>
      <c r="B31" s="34">
        <v>0</v>
      </c>
      <c r="C31" s="34">
        <v>0.6</v>
      </c>
      <c r="D31" s="34">
        <v>0</v>
      </c>
      <c r="E31" s="46">
        <v>1</v>
      </c>
      <c r="F31" s="34">
        <v>-100</v>
      </c>
      <c r="G31" s="34">
        <v>-0.6</v>
      </c>
      <c r="H31" s="4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1"/>
  <sheetViews>
    <sheetView workbookViewId="0">
      <pane ySplit="1" topLeftCell="A2" activePane="bottomLeft" state="frozen"/>
      <selection pane="bottomLeft" activeCell="F7" sqref="F7"/>
    </sheetView>
  </sheetViews>
  <sheetFormatPr defaultRowHeight="15.5" x14ac:dyDescent="0.35"/>
  <cols>
    <col min="1" max="1" width="22" style="4" customWidth="1"/>
    <col min="2" max="2" width="7" style="4" customWidth="1"/>
    <col min="3" max="4" width="11" style="4" customWidth="1"/>
    <col min="5" max="5" width="10" style="4" customWidth="1"/>
    <col min="6" max="6" width="53.7265625" style="4" customWidth="1"/>
    <col min="7" max="7" width="48.7265625" style="4" customWidth="1"/>
    <col min="8" max="8" width="35" style="4" customWidth="1"/>
    <col min="9" max="9" width="22" style="4" customWidth="1"/>
    <col min="10" max="11" width="8.7265625" style="4" customWidth="1"/>
    <col min="12" max="16384" width="8.7265625" style="4"/>
  </cols>
  <sheetData>
    <row r="1" spans="1:9" ht="32" customHeight="1" x14ac:dyDescent="0.35">
      <c r="A1" s="32" t="s">
        <v>416</v>
      </c>
      <c r="B1" s="32" t="s">
        <v>33</v>
      </c>
      <c r="C1" s="32" t="s">
        <v>255</v>
      </c>
      <c r="D1" s="32" t="s">
        <v>256</v>
      </c>
      <c r="E1" s="32" t="s">
        <v>258</v>
      </c>
      <c r="F1" s="32" t="s">
        <v>260</v>
      </c>
      <c r="G1" s="32" t="s">
        <v>417</v>
      </c>
      <c r="H1" s="32" t="s">
        <v>418</v>
      </c>
      <c r="I1" s="32" t="s">
        <v>419</v>
      </c>
    </row>
    <row r="2" spans="1:9" x14ac:dyDescent="0.35">
      <c r="A2" s="34" t="s">
        <v>420</v>
      </c>
      <c r="B2" s="34" t="s">
        <v>41</v>
      </c>
      <c r="C2" s="34">
        <v>695.4</v>
      </c>
      <c r="D2" s="34">
        <v>33.4</v>
      </c>
      <c r="E2" s="44">
        <v>9</v>
      </c>
      <c r="F2" s="34" t="s">
        <v>261</v>
      </c>
      <c r="G2" s="34" t="s">
        <v>323</v>
      </c>
      <c r="H2" s="34" t="s">
        <v>405</v>
      </c>
      <c r="I2" s="34">
        <v>1982</v>
      </c>
    </row>
    <row r="3" spans="1:9" x14ac:dyDescent="0.35">
      <c r="A3" s="34" t="s">
        <v>421</v>
      </c>
      <c r="B3" s="34" t="s">
        <v>208</v>
      </c>
      <c r="C3" s="34">
        <v>125.4</v>
      </c>
      <c r="D3" s="34">
        <v>0</v>
      </c>
      <c r="E3" s="34">
        <v>3</v>
      </c>
      <c r="F3" s="34" t="s">
        <v>262</v>
      </c>
      <c r="G3" s="34" t="s">
        <v>307</v>
      </c>
      <c r="H3" s="34" t="s">
        <v>398</v>
      </c>
      <c r="I3" s="34"/>
    </row>
    <row r="4" spans="1:9" x14ac:dyDescent="0.35">
      <c r="A4" s="34" t="s">
        <v>422</v>
      </c>
      <c r="B4" s="34" t="s">
        <v>423</v>
      </c>
      <c r="C4" s="34">
        <v>103</v>
      </c>
      <c r="D4" s="34">
        <v>190.4</v>
      </c>
      <c r="E4" s="46">
        <v>37</v>
      </c>
      <c r="F4" s="34" t="s">
        <v>424</v>
      </c>
      <c r="G4" s="34" t="s">
        <v>309</v>
      </c>
      <c r="H4" s="34" t="s">
        <v>394</v>
      </c>
      <c r="I4" s="34">
        <v>-45.9</v>
      </c>
    </row>
    <row r="5" spans="1:9" x14ac:dyDescent="0.35">
      <c r="A5" s="34" t="s">
        <v>425</v>
      </c>
      <c r="B5" s="34" t="s">
        <v>426</v>
      </c>
      <c r="C5" s="34">
        <v>90</v>
      </c>
      <c r="D5" s="34">
        <v>0</v>
      </c>
      <c r="E5" s="34">
        <v>1</v>
      </c>
      <c r="F5" s="34" t="s">
        <v>266</v>
      </c>
      <c r="G5" s="34" t="s">
        <v>306</v>
      </c>
      <c r="H5" s="34" t="s">
        <v>396</v>
      </c>
      <c r="I5" s="34"/>
    </row>
    <row r="6" spans="1:9" x14ac:dyDescent="0.35">
      <c r="A6" s="34" t="s">
        <v>427</v>
      </c>
      <c r="B6" s="34" t="s">
        <v>208</v>
      </c>
      <c r="C6" s="34">
        <v>80</v>
      </c>
      <c r="D6" s="34">
        <v>14.9</v>
      </c>
      <c r="E6" s="44">
        <v>2</v>
      </c>
      <c r="F6" s="34" t="s">
        <v>262</v>
      </c>
      <c r="G6" s="34" t="s">
        <v>337</v>
      </c>
      <c r="H6" s="34" t="s">
        <v>398</v>
      </c>
      <c r="I6" s="34">
        <v>436.9</v>
      </c>
    </row>
    <row r="7" spans="1:9" x14ac:dyDescent="0.35">
      <c r="A7" s="34" t="s">
        <v>428</v>
      </c>
      <c r="B7" s="34" t="s">
        <v>429</v>
      </c>
      <c r="C7" s="34">
        <v>48.7</v>
      </c>
      <c r="D7" s="34">
        <v>70.099999999999994</v>
      </c>
      <c r="E7" s="46">
        <v>10</v>
      </c>
      <c r="F7" s="34" t="s">
        <v>268</v>
      </c>
      <c r="G7" s="34" t="s">
        <v>318</v>
      </c>
      <c r="H7" s="34" t="s">
        <v>401</v>
      </c>
      <c r="I7" s="34">
        <v>-30.5</v>
      </c>
    </row>
    <row r="8" spans="1:9" x14ac:dyDescent="0.35">
      <c r="A8" s="34" t="s">
        <v>202</v>
      </c>
      <c r="B8" s="34" t="s">
        <v>203</v>
      </c>
      <c r="C8" s="34">
        <v>45.2</v>
      </c>
      <c r="D8" s="34">
        <v>90.4</v>
      </c>
      <c r="E8" s="46">
        <v>5</v>
      </c>
      <c r="F8" s="34" t="s">
        <v>269</v>
      </c>
      <c r="G8" s="34" t="s">
        <v>310</v>
      </c>
      <c r="H8" s="34" t="s">
        <v>399</v>
      </c>
      <c r="I8" s="34">
        <v>-50</v>
      </c>
    </row>
    <row r="9" spans="1:9" x14ac:dyDescent="0.35">
      <c r="A9" s="34" t="s">
        <v>430</v>
      </c>
      <c r="B9" s="34" t="s">
        <v>58</v>
      </c>
      <c r="C9" s="34">
        <v>44.5</v>
      </c>
      <c r="D9" s="34">
        <v>55</v>
      </c>
      <c r="E9" s="46">
        <v>1</v>
      </c>
      <c r="F9" s="34" t="s">
        <v>263</v>
      </c>
      <c r="G9" s="34" t="s">
        <v>316</v>
      </c>
      <c r="H9" s="34" t="s">
        <v>395</v>
      </c>
      <c r="I9" s="34">
        <v>-19.100000000000001</v>
      </c>
    </row>
    <row r="10" spans="1:9" x14ac:dyDescent="0.35">
      <c r="A10" s="34" t="s">
        <v>431</v>
      </c>
      <c r="B10" s="34" t="s">
        <v>203</v>
      </c>
      <c r="C10" s="34">
        <v>42</v>
      </c>
      <c r="D10" s="34">
        <v>0</v>
      </c>
      <c r="E10" s="34">
        <v>1</v>
      </c>
      <c r="F10" s="34" t="s">
        <v>269</v>
      </c>
      <c r="G10" s="34" t="s">
        <v>310</v>
      </c>
      <c r="H10" s="34" t="s">
        <v>399</v>
      </c>
      <c r="I10" s="34"/>
    </row>
    <row r="11" spans="1:9" x14ac:dyDescent="0.35">
      <c r="A11" s="34" t="s">
        <v>432</v>
      </c>
      <c r="B11" s="34" t="s">
        <v>426</v>
      </c>
      <c r="C11" s="34">
        <v>40</v>
      </c>
      <c r="D11" s="34">
        <v>15</v>
      </c>
      <c r="E11" s="44">
        <v>1</v>
      </c>
      <c r="F11" s="34" t="s">
        <v>266</v>
      </c>
      <c r="G11" s="34" t="s">
        <v>306</v>
      </c>
      <c r="H11" s="34" t="s">
        <v>396</v>
      </c>
      <c r="I11" s="34">
        <v>166.7</v>
      </c>
    </row>
    <row r="12" spans="1:9" x14ac:dyDescent="0.35">
      <c r="A12" s="34" t="s">
        <v>433</v>
      </c>
      <c r="B12" s="34" t="s">
        <v>434</v>
      </c>
      <c r="C12" s="34">
        <v>39.6</v>
      </c>
      <c r="D12" s="34">
        <v>59.6</v>
      </c>
      <c r="E12" s="46">
        <v>2</v>
      </c>
      <c r="F12" s="34" t="s">
        <v>268</v>
      </c>
      <c r="G12" s="34" t="s">
        <v>321</v>
      </c>
      <c r="H12" s="34" t="s">
        <v>401</v>
      </c>
      <c r="I12" s="34">
        <v>-33.6</v>
      </c>
    </row>
    <row r="13" spans="1:9" x14ac:dyDescent="0.35">
      <c r="A13" s="34" t="s">
        <v>435</v>
      </c>
      <c r="B13" s="34" t="s">
        <v>185</v>
      </c>
      <c r="C13" s="34">
        <v>37.4</v>
      </c>
      <c r="D13" s="34">
        <v>42</v>
      </c>
      <c r="E13" s="46">
        <v>2</v>
      </c>
      <c r="F13" s="34" t="s">
        <v>270</v>
      </c>
      <c r="G13" s="34" t="s">
        <v>314</v>
      </c>
      <c r="H13" s="34" t="s">
        <v>403</v>
      </c>
      <c r="I13" s="34">
        <v>-11</v>
      </c>
    </row>
    <row r="14" spans="1:9" x14ac:dyDescent="0.35">
      <c r="A14" s="34" t="s">
        <v>436</v>
      </c>
      <c r="B14" s="34" t="s">
        <v>58</v>
      </c>
      <c r="C14" s="34">
        <v>34</v>
      </c>
      <c r="D14" s="34">
        <v>48.5</v>
      </c>
      <c r="E14" s="46">
        <v>1</v>
      </c>
      <c r="F14" s="34" t="s">
        <v>279</v>
      </c>
      <c r="G14" s="34" t="s">
        <v>324</v>
      </c>
      <c r="H14" s="34" t="s">
        <v>395</v>
      </c>
      <c r="I14" s="34">
        <v>-29.9</v>
      </c>
    </row>
    <row r="15" spans="1:9" x14ac:dyDescent="0.35">
      <c r="A15" s="34" t="s">
        <v>437</v>
      </c>
      <c r="B15" s="34" t="s">
        <v>438</v>
      </c>
      <c r="C15" s="34">
        <v>32.799999999999997</v>
      </c>
      <c r="D15" s="34">
        <v>5</v>
      </c>
      <c r="E15" s="44">
        <v>5</v>
      </c>
      <c r="F15" s="34" t="s">
        <v>264</v>
      </c>
      <c r="G15" s="34" t="s">
        <v>305</v>
      </c>
      <c r="H15" s="34" t="s">
        <v>400</v>
      </c>
      <c r="I15" s="34">
        <v>556</v>
      </c>
    </row>
    <row r="16" spans="1:9" x14ac:dyDescent="0.35">
      <c r="A16" s="34" t="s">
        <v>439</v>
      </c>
      <c r="B16" s="34" t="s">
        <v>182</v>
      </c>
      <c r="C16" s="34">
        <v>26.3</v>
      </c>
      <c r="D16" s="34">
        <v>70</v>
      </c>
      <c r="E16" s="46">
        <v>1</v>
      </c>
      <c r="F16" s="34" t="s">
        <v>273</v>
      </c>
      <c r="G16" s="34" t="s">
        <v>313</v>
      </c>
      <c r="H16" s="34" t="s">
        <v>397</v>
      </c>
      <c r="I16" s="34">
        <v>-62.4</v>
      </c>
    </row>
    <row r="17" spans="1:9" x14ac:dyDescent="0.35">
      <c r="A17" s="34" t="s">
        <v>440</v>
      </c>
      <c r="B17" s="34" t="s">
        <v>441</v>
      </c>
      <c r="C17" s="34">
        <v>24.5</v>
      </c>
      <c r="D17" s="34">
        <v>50.7</v>
      </c>
      <c r="E17" s="46">
        <v>1</v>
      </c>
      <c r="F17" s="34" t="s">
        <v>283</v>
      </c>
      <c r="G17" s="34" t="s">
        <v>328</v>
      </c>
      <c r="H17" s="34" t="s">
        <v>409</v>
      </c>
      <c r="I17" s="34">
        <v>-51.7</v>
      </c>
    </row>
    <row r="18" spans="1:9" x14ac:dyDescent="0.35">
      <c r="A18" s="34" t="s">
        <v>442</v>
      </c>
      <c r="B18" s="34" t="s">
        <v>443</v>
      </c>
      <c r="C18" s="34">
        <v>23.2</v>
      </c>
      <c r="D18" s="34">
        <v>72.099999999999994</v>
      </c>
      <c r="E18" s="46">
        <v>2</v>
      </c>
      <c r="F18" s="34" t="s">
        <v>444</v>
      </c>
      <c r="G18" s="34" t="s">
        <v>322</v>
      </c>
      <c r="H18" s="34" t="s">
        <v>406</v>
      </c>
      <c r="I18" s="34">
        <v>-67.8</v>
      </c>
    </row>
    <row r="19" spans="1:9" x14ac:dyDescent="0.35">
      <c r="A19" s="34" t="s">
        <v>445</v>
      </c>
      <c r="B19" s="34" t="s">
        <v>438</v>
      </c>
      <c r="C19" s="34">
        <v>22.9</v>
      </c>
      <c r="D19" s="34">
        <v>54.3</v>
      </c>
      <c r="E19" s="46">
        <v>2</v>
      </c>
      <c r="F19" s="34" t="s">
        <v>264</v>
      </c>
      <c r="G19" s="34" t="s">
        <v>305</v>
      </c>
      <c r="H19" s="34" t="s">
        <v>400</v>
      </c>
      <c r="I19" s="34">
        <v>-57.8</v>
      </c>
    </row>
    <row r="20" spans="1:9" x14ac:dyDescent="0.35">
      <c r="A20" s="34" t="s">
        <v>446</v>
      </c>
      <c r="B20" s="34" t="s">
        <v>447</v>
      </c>
      <c r="C20" s="34">
        <v>22.5</v>
      </c>
      <c r="D20" s="34">
        <v>49.1</v>
      </c>
      <c r="E20" s="46">
        <v>4</v>
      </c>
      <c r="F20" s="34" t="s">
        <v>271</v>
      </c>
      <c r="G20" s="34" t="s">
        <v>312</v>
      </c>
      <c r="H20" s="34" t="s">
        <v>397</v>
      </c>
      <c r="I20" s="34">
        <v>-54.2</v>
      </c>
    </row>
    <row r="21" spans="1:9" x14ac:dyDescent="0.35">
      <c r="A21" s="34" t="s">
        <v>448</v>
      </c>
      <c r="B21" s="34" t="s">
        <v>447</v>
      </c>
      <c r="C21" s="34">
        <v>22.3</v>
      </c>
      <c r="D21" s="34">
        <v>43</v>
      </c>
      <c r="E21" s="46">
        <v>3</v>
      </c>
      <c r="F21" s="34" t="s">
        <v>271</v>
      </c>
      <c r="G21" s="34" t="s">
        <v>312</v>
      </c>
      <c r="H21" s="34" t="s">
        <v>397</v>
      </c>
      <c r="I21" s="34">
        <v>-48.1</v>
      </c>
    </row>
    <row r="22" spans="1:9" x14ac:dyDescent="0.35">
      <c r="A22" s="34" t="s">
        <v>449</v>
      </c>
      <c r="B22" s="34" t="s">
        <v>434</v>
      </c>
      <c r="C22" s="34">
        <v>21.6</v>
      </c>
      <c r="D22" s="34">
        <v>54.8</v>
      </c>
      <c r="E22" s="46">
        <v>3</v>
      </c>
      <c r="F22" s="34" t="s">
        <v>268</v>
      </c>
      <c r="G22" s="34" t="s">
        <v>326</v>
      </c>
      <c r="H22" s="34" t="s">
        <v>401</v>
      </c>
      <c r="I22" s="34">
        <v>-60.6</v>
      </c>
    </row>
    <row r="23" spans="1:9" x14ac:dyDescent="0.35">
      <c r="A23" s="34" t="s">
        <v>450</v>
      </c>
      <c r="B23" s="34" t="s">
        <v>447</v>
      </c>
      <c r="C23" s="34">
        <v>20.9</v>
      </c>
      <c r="D23" s="34">
        <v>46.3</v>
      </c>
      <c r="E23" s="46">
        <v>3</v>
      </c>
      <c r="F23" s="34" t="s">
        <v>273</v>
      </c>
      <c r="G23" s="34" t="s">
        <v>313</v>
      </c>
      <c r="H23" s="34" t="s">
        <v>397</v>
      </c>
      <c r="I23" s="34">
        <v>-54.9</v>
      </c>
    </row>
    <row r="24" spans="1:9" x14ac:dyDescent="0.35">
      <c r="A24" s="34" t="s">
        <v>451</v>
      </c>
      <c r="B24" s="34" t="s">
        <v>182</v>
      </c>
      <c r="C24" s="34">
        <v>20.7</v>
      </c>
      <c r="D24" s="34">
        <v>41.5</v>
      </c>
      <c r="E24" s="46">
        <v>4</v>
      </c>
      <c r="F24" s="34" t="s">
        <v>275</v>
      </c>
      <c r="G24" s="34" t="s">
        <v>319</v>
      </c>
      <c r="H24" s="34" t="s">
        <v>397</v>
      </c>
      <c r="I24" s="34">
        <v>-50.1</v>
      </c>
    </row>
    <row r="25" spans="1:9" x14ac:dyDescent="0.35">
      <c r="A25" s="34" t="s">
        <v>452</v>
      </c>
      <c r="B25" s="34" t="s">
        <v>453</v>
      </c>
      <c r="C25" s="34">
        <v>20.5</v>
      </c>
      <c r="D25" s="34">
        <v>55.3</v>
      </c>
      <c r="E25" s="46">
        <v>1</v>
      </c>
      <c r="F25" s="34" t="s">
        <v>278</v>
      </c>
      <c r="G25" s="34" t="s">
        <v>329</v>
      </c>
      <c r="H25" s="34" t="s">
        <v>402</v>
      </c>
      <c r="I25" s="34">
        <v>-62.9</v>
      </c>
    </row>
    <row r="26" spans="1:9" x14ac:dyDescent="0.35">
      <c r="A26" s="34" t="s">
        <v>454</v>
      </c>
      <c r="B26" s="34" t="s">
        <v>58</v>
      </c>
      <c r="C26" s="34">
        <v>20.5</v>
      </c>
      <c r="D26" s="34">
        <v>39.799999999999997</v>
      </c>
      <c r="E26" s="46">
        <v>2</v>
      </c>
      <c r="F26" s="34" t="s">
        <v>263</v>
      </c>
      <c r="G26" s="34" t="s">
        <v>311</v>
      </c>
      <c r="H26" s="34" t="s">
        <v>395</v>
      </c>
      <c r="I26" s="34">
        <v>-48.5</v>
      </c>
    </row>
    <row r="27" spans="1:9" x14ac:dyDescent="0.35">
      <c r="A27" s="34" t="s">
        <v>455</v>
      </c>
      <c r="B27" s="34" t="s">
        <v>456</v>
      </c>
      <c r="C27" s="34">
        <v>20.5</v>
      </c>
      <c r="D27" s="34">
        <v>23</v>
      </c>
      <c r="E27" s="46">
        <v>1</v>
      </c>
      <c r="F27" s="34" t="s">
        <v>285</v>
      </c>
      <c r="G27" s="34" t="s">
        <v>331</v>
      </c>
      <c r="H27" s="34" t="s">
        <v>399</v>
      </c>
      <c r="I27" s="34">
        <v>-10.9</v>
      </c>
    </row>
    <row r="28" spans="1:9" x14ac:dyDescent="0.35">
      <c r="A28" s="34" t="s">
        <v>457</v>
      </c>
      <c r="B28" s="34" t="s">
        <v>458</v>
      </c>
      <c r="C28" s="34">
        <v>20</v>
      </c>
      <c r="D28" s="34">
        <v>73</v>
      </c>
      <c r="E28" s="46">
        <v>1</v>
      </c>
      <c r="F28" s="34" t="s">
        <v>286</v>
      </c>
      <c r="G28" s="34" t="s">
        <v>333</v>
      </c>
      <c r="H28" s="34" t="s">
        <v>399</v>
      </c>
      <c r="I28" s="34">
        <v>-72.599999999999994</v>
      </c>
    </row>
    <row r="29" spans="1:9" x14ac:dyDescent="0.35">
      <c r="A29" s="34" t="s">
        <v>459</v>
      </c>
      <c r="B29" s="34" t="s">
        <v>438</v>
      </c>
      <c r="C29" s="34">
        <v>20</v>
      </c>
      <c r="D29" s="34">
        <v>45</v>
      </c>
      <c r="E29" s="46">
        <v>1</v>
      </c>
      <c r="F29" s="34" t="s">
        <v>264</v>
      </c>
      <c r="G29" s="34" t="s">
        <v>305</v>
      </c>
      <c r="H29" s="34" t="s">
        <v>400</v>
      </c>
      <c r="I29" s="34">
        <v>-55.6</v>
      </c>
    </row>
    <row r="30" spans="1:9" x14ac:dyDescent="0.35">
      <c r="A30" s="34" t="s">
        <v>460</v>
      </c>
      <c r="B30" s="34" t="s">
        <v>461</v>
      </c>
      <c r="C30" s="34">
        <v>20</v>
      </c>
      <c r="D30" s="34">
        <v>51.5</v>
      </c>
      <c r="E30" s="46">
        <v>1</v>
      </c>
      <c r="F30" s="34" t="s">
        <v>462</v>
      </c>
      <c r="G30" s="34" t="s">
        <v>308</v>
      </c>
      <c r="H30" s="34" t="s">
        <v>394</v>
      </c>
      <c r="I30" s="34">
        <v>-61.2</v>
      </c>
    </row>
    <row r="31" spans="1:9" x14ac:dyDescent="0.35">
      <c r="A31" s="34" t="s">
        <v>463</v>
      </c>
      <c r="B31" s="34" t="s">
        <v>208</v>
      </c>
      <c r="C31" s="34">
        <v>20</v>
      </c>
      <c r="D31" s="34">
        <v>36.6</v>
      </c>
      <c r="E31" s="46">
        <v>1</v>
      </c>
      <c r="F31" s="34" t="s">
        <v>282</v>
      </c>
      <c r="G31" s="34" t="s">
        <v>334</v>
      </c>
      <c r="H31" s="34" t="s">
        <v>398</v>
      </c>
      <c r="I31" s="34">
        <v>-45.4</v>
      </c>
    </row>
    <row r="32" spans="1:9" x14ac:dyDescent="0.35">
      <c r="A32" s="34" t="s">
        <v>464</v>
      </c>
      <c r="B32" s="34" t="s">
        <v>465</v>
      </c>
      <c r="C32" s="34">
        <v>19.5</v>
      </c>
      <c r="D32" s="34">
        <v>5.5</v>
      </c>
      <c r="E32" s="44">
        <v>2</v>
      </c>
      <c r="F32" s="34" t="s">
        <v>281</v>
      </c>
      <c r="G32" s="34" t="s">
        <v>327</v>
      </c>
      <c r="H32" s="34" t="s">
        <v>402</v>
      </c>
      <c r="I32" s="34">
        <v>254.5</v>
      </c>
    </row>
    <row r="33" spans="1:9" x14ac:dyDescent="0.35">
      <c r="A33" s="34" t="s">
        <v>466</v>
      </c>
      <c r="B33" s="34" t="s">
        <v>467</v>
      </c>
      <c r="C33" s="34">
        <v>19.2</v>
      </c>
      <c r="D33" s="34">
        <v>0</v>
      </c>
      <c r="E33" s="34">
        <v>2</v>
      </c>
      <c r="F33" s="34" t="s">
        <v>287</v>
      </c>
      <c r="G33" s="34" t="s">
        <v>336</v>
      </c>
      <c r="H33" s="34" t="s">
        <v>399</v>
      </c>
      <c r="I33" s="34"/>
    </row>
    <row r="34" spans="1:9" x14ac:dyDescent="0.35">
      <c r="A34" s="34" t="s">
        <v>468</v>
      </c>
      <c r="B34" s="34" t="s">
        <v>469</v>
      </c>
      <c r="C34" s="34">
        <v>18.2</v>
      </c>
      <c r="D34" s="34">
        <v>29.1</v>
      </c>
      <c r="E34" s="46">
        <v>2</v>
      </c>
      <c r="F34" s="34" t="s">
        <v>272</v>
      </c>
      <c r="G34" s="34" t="s">
        <v>366</v>
      </c>
      <c r="H34" s="34" t="s">
        <v>394</v>
      </c>
      <c r="I34" s="34">
        <v>-37.5</v>
      </c>
    </row>
    <row r="35" spans="1:9" x14ac:dyDescent="0.35">
      <c r="A35" s="34" t="s">
        <v>470</v>
      </c>
      <c r="B35" s="34" t="s">
        <v>438</v>
      </c>
      <c r="C35" s="34">
        <v>18.100000000000001</v>
      </c>
      <c r="D35" s="34">
        <v>33.5</v>
      </c>
      <c r="E35" s="46">
        <v>2</v>
      </c>
      <c r="F35" s="34" t="s">
        <v>264</v>
      </c>
      <c r="G35" s="34" t="s">
        <v>305</v>
      </c>
      <c r="H35" s="34" t="s">
        <v>400</v>
      </c>
      <c r="I35" s="34">
        <v>-46</v>
      </c>
    </row>
    <row r="36" spans="1:9" x14ac:dyDescent="0.35">
      <c r="A36" s="34" t="s">
        <v>471</v>
      </c>
      <c r="B36" s="34" t="s">
        <v>469</v>
      </c>
      <c r="C36" s="34">
        <v>18.100000000000001</v>
      </c>
      <c r="D36" s="34">
        <v>11.8</v>
      </c>
      <c r="E36" s="44">
        <v>2</v>
      </c>
      <c r="F36" s="34" t="s">
        <v>272</v>
      </c>
      <c r="G36" s="34" t="s">
        <v>320</v>
      </c>
      <c r="H36" s="34" t="s">
        <v>394</v>
      </c>
      <c r="I36" s="34">
        <v>53.4</v>
      </c>
    </row>
    <row r="37" spans="1:9" x14ac:dyDescent="0.35">
      <c r="A37" s="34" t="s">
        <v>472</v>
      </c>
      <c r="B37" s="34" t="s">
        <v>453</v>
      </c>
      <c r="C37" s="34">
        <v>18</v>
      </c>
      <c r="D37" s="34">
        <v>23.5</v>
      </c>
      <c r="E37" s="46">
        <v>1</v>
      </c>
      <c r="F37" s="34" t="s">
        <v>278</v>
      </c>
      <c r="G37" s="34" t="s">
        <v>338</v>
      </c>
      <c r="H37" s="34" t="s">
        <v>402</v>
      </c>
      <c r="I37" s="34">
        <v>-23.4</v>
      </c>
    </row>
    <row r="38" spans="1:9" x14ac:dyDescent="0.35">
      <c r="A38" s="34" t="s">
        <v>473</v>
      </c>
      <c r="B38" s="34" t="s">
        <v>461</v>
      </c>
      <c r="C38" s="34">
        <v>15.4</v>
      </c>
      <c r="D38" s="34">
        <v>58.1</v>
      </c>
      <c r="E38" s="46">
        <v>3</v>
      </c>
      <c r="F38" s="34" t="s">
        <v>462</v>
      </c>
      <c r="G38" s="34" t="s">
        <v>308</v>
      </c>
      <c r="H38" s="34" t="s">
        <v>394</v>
      </c>
      <c r="I38" s="34">
        <v>-73.5</v>
      </c>
    </row>
    <row r="39" spans="1:9" x14ac:dyDescent="0.35">
      <c r="A39" s="34" t="s">
        <v>474</v>
      </c>
      <c r="B39" s="34" t="s">
        <v>58</v>
      </c>
      <c r="C39" s="34">
        <v>15.3</v>
      </c>
      <c r="D39" s="34">
        <v>23.3</v>
      </c>
      <c r="E39" s="46">
        <v>4</v>
      </c>
      <c r="F39" s="34" t="s">
        <v>263</v>
      </c>
      <c r="G39" s="34" t="s">
        <v>316</v>
      </c>
      <c r="H39" s="34" t="s">
        <v>395</v>
      </c>
      <c r="I39" s="34">
        <v>-34.299999999999997</v>
      </c>
    </row>
    <row r="40" spans="1:9" x14ac:dyDescent="0.35">
      <c r="A40" s="34" t="s">
        <v>475</v>
      </c>
      <c r="B40" s="34" t="s">
        <v>453</v>
      </c>
      <c r="C40" s="34">
        <v>15</v>
      </c>
      <c r="D40" s="34">
        <v>29.5</v>
      </c>
      <c r="E40" s="46">
        <v>1</v>
      </c>
      <c r="F40" s="34" t="s">
        <v>277</v>
      </c>
      <c r="G40" s="34" t="s">
        <v>317</v>
      </c>
      <c r="H40" s="34" t="s">
        <v>402</v>
      </c>
      <c r="I40" s="34">
        <v>-49.2</v>
      </c>
    </row>
    <row r="41" spans="1:9" x14ac:dyDescent="0.35">
      <c r="A41" s="34" t="s">
        <v>476</v>
      </c>
      <c r="B41" s="34" t="s">
        <v>423</v>
      </c>
      <c r="C41" s="34">
        <v>14.1</v>
      </c>
      <c r="D41" s="34">
        <v>23.8</v>
      </c>
      <c r="E41" s="46">
        <v>9</v>
      </c>
      <c r="F41" s="34" t="s">
        <v>424</v>
      </c>
      <c r="G41" s="34" t="s">
        <v>309</v>
      </c>
      <c r="H41" s="34" t="s">
        <v>394</v>
      </c>
      <c r="I41" s="34">
        <v>-40.799999999999997</v>
      </c>
    </row>
    <row r="42" spans="1:9" x14ac:dyDescent="0.35">
      <c r="A42" s="34" t="s">
        <v>477</v>
      </c>
      <c r="B42" s="34" t="s">
        <v>58</v>
      </c>
      <c r="C42" s="34">
        <v>13.7</v>
      </c>
      <c r="D42" s="34">
        <v>31.9</v>
      </c>
      <c r="E42" s="46">
        <v>2</v>
      </c>
      <c r="F42" s="34" t="s">
        <v>478</v>
      </c>
      <c r="G42" s="34" t="s">
        <v>311</v>
      </c>
      <c r="H42" s="34" t="s">
        <v>395</v>
      </c>
      <c r="I42" s="34">
        <v>-57.1</v>
      </c>
    </row>
    <row r="43" spans="1:9" x14ac:dyDescent="0.35">
      <c r="A43" s="34" t="s">
        <v>479</v>
      </c>
      <c r="B43" s="34" t="s">
        <v>480</v>
      </c>
      <c r="C43" s="34">
        <v>13.1</v>
      </c>
      <c r="D43" s="34">
        <v>27.9</v>
      </c>
      <c r="E43" s="46">
        <v>1</v>
      </c>
      <c r="F43" s="34" t="s">
        <v>284</v>
      </c>
      <c r="G43" s="34" t="s">
        <v>341</v>
      </c>
      <c r="H43" s="34" t="s">
        <v>408</v>
      </c>
      <c r="I43" s="34">
        <v>-53</v>
      </c>
    </row>
    <row r="44" spans="1:9" x14ac:dyDescent="0.35">
      <c r="A44" s="34" t="s">
        <v>481</v>
      </c>
      <c r="B44" s="34" t="s">
        <v>482</v>
      </c>
      <c r="C44" s="34">
        <v>13</v>
      </c>
      <c r="D44" s="34">
        <v>27</v>
      </c>
      <c r="E44" s="46">
        <v>1</v>
      </c>
      <c r="F44" s="34" t="s">
        <v>275</v>
      </c>
      <c r="G44" s="34" t="s">
        <v>340</v>
      </c>
      <c r="H44" s="34" t="s">
        <v>407</v>
      </c>
      <c r="I44" s="34">
        <v>-51.9</v>
      </c>
    </row>
    <row r="45" spans="1:9" x14ac:dyDescent="0.35">
      <c r="A45" s="34" t="s">
        <v>483</v>
      </c>
      <c r="B45" s="34" t="s">
        <v>469</v>
      </c>
      <c r="C45" s="34">
        <v>12.4</v>
      </c>
      <c r="D45" s="34">
        <v>15.4</v>
      </c>
      <c r="E45" s="46">
        <v>13</v>
      </c>
      <c r="F45" s="34" t="s">
        <v>272</v>
      </c>
      <c r="G45" s="34" t="s">
        <v>320</v>
      </c>
      <c r="H45" s="34" t="s">
        <v>394</v>
      </c>
      <c r="I45" s="34">
        <v>-19.5</v>
      </c>
    </row>
    <row r="46" spans="1:9" x14ac:dyDescent="0.35">
      <c r="A46" s="34" t="s">
        <v>484</v>
      </c>
      <c r="B46" s="34" t="s">
        <v>461</v>
      </c>
      <c r="C46" s="34">
        <v>11.7</v>
      </c>
      <c r="D46" s="34">
        <v>16.600000000000001</v>
      </c>
      <c r="E46" s="46">
        <v>5</v>
      </c>
      <c r="F46" s="34" t="s">
        <v>485</v>
      </c>
      <c r="G46" s="34" t="s">
        <v>308</v>
      </c>
      <c r="H46" s="34" t="s">
        <v>394</v>
      </c>
      <c r="I46" s="34">
        <v>-29.5</v>
      </c>
    </row>
    <row r="47" spans="1:9" x14ac:dyDescent="0.35">
      <c r="A47" s="34" t="s">
        <v>486</v>
      </c>
      <c r="B47" s="34" t="s">
        <v>182</v>
      </c>
      <c r="C47" s="34">
        <v>10.4</v>
      </c>
      <c r="D47" s="34">
        <v>7.9</v>
      </c>
      <c r="E47" s="44">
        <v>4</v>
      </c>
      <c r="F47" s="34" t="s">
        <v>275</v>
      </c>
      <c r="G47" s="34" t="s">
        <v>319</v>
      </c>
      <c r="H47" s="34" t="s">
        <v>397</v>
      </c>
      <c r="I47" s="34">
        <v>31.6</v>
      </c>
    </row>
    <row r="48" spans="1:9" x14ac:dyDescent="0.35">
      <c r="A48" s="34" t="s">
        <v>487</v>
      </c>
      <c r="B48" s="34" t="s">
        <v>469</v>
      </c>
      <c r="C48" s="34">
        <v>10.3</v>
      </c>
      <c r="D48" s="34">
        <v>18.7</v>
      </c>
      <c r="E48" s="46">
        <v>1</v>
      </c>
      <c r="F48" s="34" t="s">
        <v>274</v>
      </c>
      <c r="G48" s="34" t="s">
        <v>325</v>
      </c>
      <c r="H48" s="34" t="s">
        <v>396</v>
      </c>
      <c r="I48" s="34">
        <v>-44.9</v>
      </c>
    </row>
    <row r="49" spans="1:9" x14ac:dyDescent="0.35">
      <c r="A49" s="34" t="s">
        <v>488</v>
      </c>
      <c r="B49" s="34" t="s">
        <v>58</v>
      </c>
      <c r="C49" s="34">
        <v>10.199999999999999</v>
      </c>
      <c r="D49" s="34">
        <v>17.600000000000001</v>
      </c>
      <c r="E49" s="46">
        <v>1</v>
      </c>
      <c r="F49" s="34" t="s">
        <v>263</v>
      </c>
      <c r="G49" s="34" t="s">
        <v>311</v>
      </c>
      <c r="H49" s="34" t="s">
        <v>395</v>
      </c>
      <c r="I49" s="34">
        <v>-42</v>
      </c>
    </row>
    <row r="50" spans="1:9" x14ac:dyDescent="0.35">
      <c r="A50" s="34" t="s">
        <v>489</v>
      </c>
      <c r="B50" s="34" t="s">
        <v>185</v>
      </c>
      <c r="C50" s="34">
        <v>9.4</v>
      </c>
      <c r="D50" s="34">
        <v>10.4</v>
      </c>
      <c r="E50" s="46">
        <v>2</v>
      </c>
      <c r="F50" s="34" t="s">
        <v>270</v>
      </c>
      <c r="G50" s="34" t="s">
        <v>314</v>
      </c>
      <c r="H50" s="34" t="s">
        <v>403</v>
      </c>
      <c r="I50" s="34">
        <v>-9.6</v>
      </c>
    </row>
    <row r="51" spans="1:9" x14ac:dyDescent="0.35">
      <c r="A51" s="34" t="s">
        <v>490</v>
      </c>
      <c r="B51" s="34" t="s">
        <v>469</v>
      </c>
      <c r="C51" s="34">
        <v>9.1999999999999993</v>
      </c>
      <c r="D51" s="34">
        <v>19</v>
      </c>
      <c r="E51" s="46">
        <v>1</v>
      </c>
      <c r="F51" s="34" t="s">
        <v>274</v>
      </c>
      <c r="G51" s="34" t="s">
        <v>325</v>
      </c>
      <c r="H51" s="34" t="s">
        <v>396</v>
      </c>
      <c r="I51" s="34">
        <v>-51.6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2"/>
  <sheetViews>
    <sheetView workbookViewId="0">
      <pane ySplit="1" topLeftCell="A2" activePane="bottomLeft" state="frozen"/>
      <selection pane="bottomLeft" activeCell="H4" sqref="H4"/>
    </sheetView>
  </sheetViews>
  <sheetFormatPr defaultRowHeight="15.5" x14ac:dyDescent="0.35"/>
  <cols>
    <col min="1" max="1" width="32" style="4" customWidth="1"/>
    <col min="2" max="3" width="11" style="4" customWidth="1"/>
    <col min="4" max="4" width="10" style="4" customWidth="1"/>
    <col min="5" max="5" width="8" style="4" customWidth="1"/>
    <col min="6" max="6" width="19.36328125" style="4" customWidth="1"/>
    <col min="7" max="8" width="8.7265625" style="4" customWidth="1"/>
    <col min="9" max="16384" width="8.7265625" style="4"/>
  </cols>
  <sheetData>
    <row r="1" spans="1:6" ht="32" customHeight="1" x14ac:dyDescent="0.35">
      <c r="A1" s="32" t="s">
        <v>491</v>
      </c>
      <c r="B1" s="32" t="s">
        <v>255</v>
      </c>
      <c r="C1" s="32" t="s">
        <v>256</v>
      </c>
      <c r="D1" s="32" t="s">
        <v>258</v>
      </c>
      <c r="E1" s="32" t="s">
        <v>260</v>
      </c>
      <c r="F1" s="32" t="s">
        <v>492</v>
      </c>
    </row>
    <row r="2" spans="1:6" x14ac:dyDescent="0.35">
      <c r="A2" s="34" t="s">
        <v>493</v>
      </c>
      <c r="B2" s="34">
        <v>1080.2</v>
      </c>
      <c r="C2" s="34">
        <v>914</v>
      </c>
      <c r="D2" s="44">
        <v>145</v>
      </c>
      <c r="E2" s="34">
        <v>18.2</v>
      </c>
      <c r="F2" s="34">
        <v>37.700000000000003</v>
      </c>
    </row>
    <row r="3" spans="1:6" x14ac:dyDescent="0.35">
      <c r="A3" s="34" t="s">
        <v>494</v>
      </c>
      <c r="B3" s="34">
        <v>625.6</v>
      </c>
      <c r="C3" s="34">
        <v>904.1</v>
      </c>
      <c r="D3" s="46">
        <v>86</v>
      </c>
      <c r="E3" s="34">
        <v>-30.8</v>
      </c>
      <c r="F3" s="34">
        <v>21.8</v>
      </c>
    </row>
    <row r="4" spans="1:6" x14ac:dyDescent="0.35">
      <c r="A4" s="34" t="s">
        <v>495</v>
      </c>
      <c r="B4" s="34">
        <v>402.1</v>
      </c>
      <c r="C4" s="34">
        <v>435.4</v>
      </c>
      <c r="D4" s="46">
        <v>110</v>
      </c>
      <c r="E4" s="34">
        <v>-7.6</v>
      </c>
      <c r="F4" s="34">
        <v>14</v>
      </c>
    </row>
    <row r="5" spans="1:6" x14ac:dyDescent="0.35">
      <c r="A5" s="34" t="s">
        <v>496</v>
      </c>
      <c r="B5" s="34">
        <v>231.2</v>
      </c>
      <c r="C5" s="34">
        <v>524.29999999999995</v>
      </c>
      <c r="D5" s="46">
        <v>61</v>
      </c>
      <c r="E5" s="34">
        <v>-55.9</v>
      </c>
      <c r="F5" s="34">
        <v>8.1</v>
      </c>
    </row>
    <row r="6" spans="1:6" x14ac:dyDescent="0.35">
      <c r="A6" s="34" t="s">
        <v>497</v>
      </c>
      <c r="B6" s="34">
        <v>182.4</v>
      </c>
      <c r="C6" s="34">
        <v>435.8</v>
      </c>
      <c r="D6" s="46">
        <v>42</v>
      </c>
      <c r="E6" s="34">
        <v>-58.1</v>
      </c>
      <c r="F6" s="34">
        <v>6.4</v>
      </c>
    </row>
    <row r="7" spans="1:6" x14ac:dyDescent="0.35">
      <c r="A7" s="34" t="s">
        <v>498</v>
      </c>
      <c r="B7" s="34">
        <v>107.6</v>
      </c>
      <c r="C7" s="34">
        <v>337.2</v>
      </c>
      <c r="D7" s="46">
        <v>9</v>
      </c>
      <c r="E7" s="34">
        <v>-68.099999999999994</v>
      </c>
      <c r="F7" s="34">
        <v>3.8</v>
      </c>
    </row>
    <row r="8" spans="1:6" x14ac:dyDescent="0.35">
      <c r="A8" s="34" t="s">
        <v>499</v>
      </c>
      <c r="B8" s="34">
        <v>56.9</v>
      </c>
      <c r="C8" s="34">
        <v>105.2</v>
      </c>
      <c r="D8" s="46">
        <v>17</v>
      </c>
      <c r="E8" s="34">
        <v>-45.9</v>
      </c>
      <c r="F8" s="34">
        <v>2</v>
      </c>
    </row>
    <row r="9" spans="1:6" x14ac:dyDescent="0.35">
      <c r="A9" s="34" t="s">
        <v>500</v>
      </c>
      <c r="B9" s="34">
        <v>46.6</v>
      </c>
      <c r="C9" s="34">
        <v>87.3</v>
      </c>
      <c r="D9" s="46">
        <v>3</v>
      </c>
      <c r="E9" s="34">
        <v>-46.6</v>
      </c>
      <c r="F9" s="34">
        <v>1.6</v>
      </c>
    </row>
    <row r="10" spans="1:6" x14ac:dyDescent="0.35">
      <c r="A10" s="34" t="s">
        <v>501</v>
      </c>
      <c r="B10" s="34">
        <v>38.9</v>
      </c>
      <c r="C10" s="34">
        <v>82.3</v>
      </c>
      <c r="D10" s="46">
        <v>42</v>
      </c>
      <c r="E10" s="34">
        <v>-52.7</v>
      </c>
      <c r="F10" s="34">
        <v>1.4</v>
      </c>
    </row>
    <row r="11" spans="1:6" x14ac:dyDescent="0.35">
      <c r="A11" s="34" t="s">
        <v>502</v>
      </c>
      <c r="B11" s="34">
        <v>20</v>
      </c>
      <c r="C11" s="34">
        <v>47</v>
      </c>
      <c r="D11" s="46">
        <v>1</v>
      </c>
      <c r="E11" s="34">
        <v>-57.4</v>
      </c>
      <c r="F11" s="34">
        <v>0.7</v>
      </c>
    </row>
    <row r="12" spans="1:6" x14ac:dyDescent="0.35">
      <c r="A12" s="34" t="s">
        <v>503</v>
      </c>
      <c r="B12" s="34">
        <v>19</v>
      </c>
      <c r="C12" s="34">
        <v>64.099999999999994</v>
      </c>
      <c r="D12" s="46">
        <v>1</v>
      </c>
      <c r="E12" s="34">
        <v>-70.400000000000006</v>
      </c>
      <c r="F12" s="34">
        <v>0.7</v>
      </c>
    </row>
    <row r="13" spans="1:6" x14ac:dyDescent="0.35">
      <c r="A13" s="34" t="s">
        <v>504</v>
      </c>
      <c r="B13" s="34">
        <v>17.5</v>
      </c>
      <c r="C13" s="34">
        <v>22.2</v>
      </c>
      <c r="D13" s="46">
        <v>2</v>
      </c>
      <c r="E13" s="34">
        <v>-21.2</v>
      </c>
      <c r="F13" s="34">
        <v>0.6</v>
      </c>
    </row>
    <row r="14" spans="1:6" x14ac:dyDescent="0.35">
      <c r="A14" s="34" t="s">
        <v>505</v>
      </c>
      <c r="B14" s="34">
        <v>13.4</v>
      </c>
      <c r="C14" s="34">
        <v>27.4</v>
      </c>
      <c r="D14" s="46">
        <v>10</v>
      </c>
      <c r="E14" s="34">
        <v>-51.1</v>
      </c>
      <c r="F14" s="34">
        <v>0.5</v>
      </c>
    </row>
    <row r="15" spans="1:6" x14ac:dyDescent="0.35">
      <c r="A15" s="34" t="s">
        <v>506</v>
      </c>
      <c r="B15" s="34">
        <v>8.6999999999999993</v>
      </c>
      <c r="C15" s="34">
        <v>10.5</v>
      </c>
      <c r="D15" s="46">
        <v>11</v>
      </c>
      <c r="E15" s="34">
        <v>-17.100000000000001</v>
      </c>
      <c r="F15" s="34">
        <v>0.3</v>
      </c>
    </row>
    <row r="16" spans="1:6" x14ac:dyDescent="0.35">
      <c r="A16" s="34" t="s">
        <v>507</v>
      </c>
      <c r="B16" s="34">
        <v>5.3</v>
      </c>
      <c r="C16" s="34">
        <v>6.6</v>
      </c>
      <c r="D16" s="46">
        <v>2</v>
      </c>
      <c r="E16" s="34">
        <v>-19.7</v>
      </c>
      <c r="F16" s="34">
        <v>0.2</v>
      </c>
    </row>
    <row r="17" spans="1:6" x14ac:dyDescent="0.35">
      <c r="A17" s="34" t="s">
        <v>508</v>
      </c>
      <c r="B17" s="34">
        <v>3</v>
      </c>
      <c r="C17" s="34">
        <v>14</v>
      </c>
      <c r="D17" s="46">
        <v>2</v>
      </c>
      <c r="E17" s="34">
        <v>-78.599999999999994</v>
      </c>
      <c r="F17" s="34">
        <v>0.1</v>
      </c>
    </row>
    <row r="18" spans="1:6" x14ac:dyDescent="0.35">
      <c r="A18" s="34" t="s">
        <v>509</v>
      </c>
      <c r="B18" s="34">
        <v>2.7</v>
      </c>
      <c r="C18" s="34">
        <v>15.8</v>
      </c>
      <c r="D18" s="46">
        <v>5</v>
      </c>
      <c r="E18" s="34">
        <v>-82.9</v>
      </c>
      <c r="F18" s="34">
        <v>0.1</v>
      </c>
    </row>
    <row r="19" spans="1:6" x14ac:dyDescent="0.35">
      <c r="A19" s="34" t="s">
        <v>510</v>
      </c>
      <c r="B19" s="34">
        <v>2.7</v>
      </c>
      <c r="C19" s="34">
        <v>27.3</v>
      </c>
      <c r="D19" s="46">
        <v>3</v>
      </c>
      <c r="E19" s="34">
        <v>-90.1</v>
      </c>
      <c r="F19" s="34">
        <v>0.1</v>
      </c>
    </row>
    <row r="20" spans="1:6" x14ac:dyDescent="0.35">
      <c r="A20" s="34" t="s">
        <v>511</v>
      </c>
      <c r="B20" s="34">
        <v>1.3</v>
      </c>
      <c r="C20" s="34">
        <v>0.7</v>
      </c>
      <c r="D20" s="44">
        <v>4</v>
      </c>
      <c r="E20" s="34">
        <v>85.7</v>
      </c>
      <c r="F20" s="34">
        <v>0</v>
      </c>
    </row>
    <row r="21" spans="1:6" x14ac:dyDescent="0.35">
      <c r="A21" s="34" t="s">
        <v>512</v>
      </c>
      <c r="B21" s="34">
        <v>0.7</v>
      </c>
      <c r="C21" s="34">
        <v>1.4</v>
      </c>
      <c r="D21" s="46">
        <v>1</v>
      </c>
      <c r="E21" s="34">
        <v>-50</v>
      </c>
      <c r="F21" s="34">
        <v>0</v>
      </c>
    </row>
    <row r="22" spans="1:6" x14ac:dyDescent="0.35">
      <c r="A22" s="34" t="s">
        <v>513</v>
      </c>
      <c r="B22" s="34">
        <v>0.6</v>
      </c>
      <c r="C22" s="34">
        <v>2.4</v>
      </c>
      <c r="D22" s="46">
        <v>2</v>
      </c>
      <c r="E22" s="34">
        <v>-75</v>
      </c>
      <c r="F22" s="34">
        <v>0</v>
      </c>
    </row>
    <row r="23" spans="1:6" x14ac:dyDescent="0.35">
      <c r="A23" s="34" t="s">
        <v>514</v>
      </c>
      <c r="B23" s="34">
        <v>0.4</v>
      </c>
      <c r="C23" s="34">
        <v>0</v>
      </c>
      <c r="D23" s="34">
        <v>2</v>
      </c>
      <c r="E23" s="34"/>
      <c r="F23" s="34">
        <v>0</v>
      </c>
    </row>
    <row r="24" spans="1:6" x14ac:dyDescent="0.35">
      <c r="A24" s="34" t="s">
        <v>515</v>
      </c>
      <c r="B24" s="34">
        <v>0.1</v>
      </c>
      <c r="C24" s="34">
        <v>0.3</v>
      </c>
      <c r="D24" s="46">
        <v>1</v>
      </c>
      <c r="E24" s="34">
        <v>-66.7</v>
      </c>
      <c r="F24" s="34">
        <v>0</v>
      </c>
    </row>
    <row r="25" spans="1:6" x14ac:dyDescent="0.35">
      <c r="A25" s="34" t="s">
        <v>516</v>
      </c>
      <c r="B25" s="34">
        <v>0</v>
      </c>
      <c r="C25" s="34">
        <v>0.1</v>
      </c>
      <c r="D25" s="46">
        <v>0</v>
      </c>
      <c r="E25" s="34">
        <v>-100</v>
      </c>
      <c r="F25" s="34">
        <v>0</v>
      </c>
    </row>
    <row r="26" spans="1:6" x14ac:dyDescent="0.35">
      <c r="A26" s="34" t="s">
        <v>517</v>
      </c>
      <c r="B26" s="34">
        <v>0</v>
      </c>
      <c r="C26" s="34">
        <v>0.2</v>
      </c>
      <c r="D26" s="46">
        <v>0</v>
      </c>
      <c r="E26" s="34">
        <v>-100</v>
      </c>
      <c r="F26" s="34">
        <v>0</v>
      </c>
    </row>
    <row r="27" spans="1:6" x14ac:dyDescent="0.35">
      <c r="A27" s="34" t="s">
        <v>518</v>
      </c>
      <c r="B27" s="34">
        <v>0</v>
      </c>
      <c r="C27" s="34">
        <v>0.4</v>
      </c>
      <c r="D27" s="46">
        <v>0</v>
      </c>
      <c r="E27" s="34">
        <v>-100</v>
      </c>
      <c r="F27" s="34">
        <v>0</v>
      </c>
    </row>
    <row r="28" spans="1:6" x14ac:dyDescent="0.35">
      <c r="A28" s="34" t="s">
        <v>519</v>
      </c>
      <c r="B28" s="34">
        <v>0</v>
      </c>
      <c r="C28" s="34">
        <v>5.7</v>
      </c>
      <c r="D28" s="46">
        <v>0</v>
      </c>
      <c r="E28" s="34">
        <v>-100</v>
      </c>
      <c r="F28" s="34">
        <v>0</v>
      </c>
    </row>
    <row r="29" spans="1:6" x14ac:dyDescent="0.35">
      <c r="A29" s="34" t="s">
        <v>520</v>
      </c>
      <c r="B29" s="34">
        <v>0</v>
      </c>
      <c r="C29" s="34">
        <v>0.6</v>
      </c>
      <c r="D29" s="46">
        <v>0</v>
      </c>
      <c r="E29" s="34">
        <v>-100</v>
      </c>
      <c r="F29" s="34">
        <v>0</v>
      </c>
    </row>
    <row r="30" spans="1:6" x14ac:dyDescent="0.35">
      <c r="A30" s="34" t="s">
        <v>521</v>
      </c>
      <c r="B30" s="34">
        <v>0</v>
      </c>
      <c r="C30" s="34">
        <v>0.1</v>
      </c>
      <c r="D30" s="46">
        <v>0</v>
      </c>
      <c r="E30" s="34">
        <v>-100</v>
      </c>
      <c r="F30" s="34">
        <v>0</v>
      </c>
    </row>
    <row r="31" spans="1:6" x14ac:dyDescent="0.35">
      <c r="A31" s="34" t="s">
        <v>522</v>
      </c>
      <c r="B31" s="34">
        <v>0</v>
      </c>
      <c r="C31" s="34">
        <v>161</v>
      </c>
      <c r="D31" s="46">
        <v>0</v>
      </c>
      <c r="E31" s="34">
        <v>-100</v>
      </c>
      <c r="F31" s="34">
        <v>0</v>
      </c>
    </row>
    <row r="32" spans="1:6" x14ac:dyDescent="0.35">
      <c r="A32" s="34" t="s">
        <v>523</v>
      </c>
      <c r="B32" s="34">
        <v>0</v>
      </c>
      <c r="C32" s="34">
        <v>0.5</v>
      </c>
      <c r="D32" s="46">
        <v>0</v>
      </c>
      <c r="E32" s="34">
        <v>-100</v>
      </c>
      <c r="F32" s="34">
        <v>0</v>
      </c>
    </row>
    <row r="33" spans="1:6" x14ac:dyDescent="0.35">
      <c r="A33" s="34" t="s">
        <v>524</v>
      </c>
      <c r="B33" s="34">
        <v>0</v>
      </c>
      <c r="C33" s="34">
        <v>1.2</v>
      </c>
      <c r="D33" s="46">
        <v>0</v>
      </c>
      <c r="E33" s="34">
        <v>-100</v>
      </c>
      <c r="F33" s="34">
        <v>0</v>
      </c>
    </row>
    <row r="34" spans="1:6" x14ac:dyDescent="0.35">
      <c r="A34" s="34" t="s">
        <v>525</v>
      </c>
      <c r="B34" s="34">
        <v>0</v>
      </c>
      <c r="C34" s="34">
        <v>0.2</v>
      </c>
      <c r="D34" s="46">
        <v>0</v>
      </c>
      <c r="E34" s="34">
        <v>-100</v>
      </c>
      <c r="F34" s="34">
        <v>0</v>
      </c>
    </row>
    <row r="35" spans="1:6" x14ac:dyDescent="0.35">
      <c r="A35" s="34" t="s">
        <v>526</v>
      </c>
      <c r="B35" s="34">
        <v>0</v>
      </c>
      <c r="C35" s="34">
        <v>1.6</v>
      </c>
      <c r="D35" s="46">
        <v>0</v>
      </c>
      <c r="E35" s="34">
        <v>-100</v>
      </c>
      <c r="F35" s="34">
        <v>0</v>
      </c>
    </row>
    <row r="36" spans="1:6" x14ac:dyDescent="0.35">
      <c r="A36" s="34" t="s">
        <v>527</v>
      </c>
      <c r="B36" s="34">
        <v>0</v>
      </c>
      <c r="C36" s="34">
        <v>0.3</v>
      </c>
      <c r="D36" s="46">
        <v>0</v>
      </c>
      <c r="E36" s="34">
        <v>-100</v>
      </c>
      <c r="F36" s="34">
        <v>0</v>
      </c>
    </row>
    <row r="37" spans="1:6" x14ac:dyDescent="0.35">
      <c r="A37" s="34" t="s">
        <v>528</v>
      </c>
      <c r="B37" s="34">
        <v>0</v>
      </c>
      <c r="C37" s="34">
        <v>0.1</v>
      </c>
      <c r="D37" s="46">
        <v>0</v>
      </c>
      <c r="E37" s="34">
        <v>-100</v>
      </c>
      <c r="F37" s="34">
        <v>0</v>
      </c>
    </row>
    <row r="38" spans="1:6" x14ac:dyDescent="0.35">
      <c r="A38" s="34" t="s">
        <v>529</v>
      </c>
      <c r="B38" s="34">
        <v>0</v>
      </c>
      <c r="C38" s="34">
        <v>0.1</v>
      </c>
      <c r="D38" s="46">
        <v>0</v>
      </c>
      <c r="E38" s="34">
        <v>-100</v>
      </c>
      <c r="F38" s="34">
        <v>0</v>
      </c>
    </row>
    <row r="39" spans="1:6" x14ac:dyDescent="0.35">
      <c r="A39" s="34" t="s">
        <v>530</v>
      </c>
      <c r="B39" s="34">
        <v>0</v>
      </c>
      <c r="C39" s="34">
        <v>8.9</v>
      </c>
      <c r="D39" s="46">
        <v>0</v>
      </c>
      <c r="E39" s="34">
        <v>-100</v>
      </c>
      <c r="F39" s="34">
        <v>0</v>
      </c>
    </row>
    <row r="40" spans="1:6" x14ac:dyDescent="0.35">
      <c r="A40" s="34" t="s">
        <v>531</v>
      </c>
      <c r="B40" s="34">
        <v>0</v>
      </c>
      <c r="C40" s="34">
        <v>2.6</v>
      </c>
      <c r="D40" s="46">
        <v>0</v>
      </c>
      <c r="E40" s="34">
        <v>-100</v>
      </c>
      <c r="F40" s="34">
        <v>0</v>
      </c>
    </row>
    <row r="41" spans="1:6" x14ac:dyDescent="0.35">
      <c r="A41" s="34" t="s">
        <v>532</v>
      </c>
      <c r="B41" s="34">
        <v>0</v>
      </c>
      <c r="C41" s="34">
        <v>2.2999999999999998</v>
      </c>
      <c r="D41" s="46">
        <v>0</v>
      </c>
      <c r="E41" s="34">
        <v>-100</v>
      </c>
      <c r="F41" s="34">
        <v>0</v>
      </c>
    </row>
    <row r="42" spans="1:6" x14ac:dyDescent="0.35">
      <c r="A42" s="34" t="s">
        <v>533</v>
      </c>
      <c r="B42" s="34">
        <v>0</v>
      </c>
      <c r="C42" s="34">
        <v>0.5</v>
      </c>
      <c r="D42" s="46">
        <v>0</v>
      </c>
      <c r="E42" s="34">
        <v>-100</v>
      </c>
      <c r="F42" s="3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>
      <pane ySplit="1" topLeftCell="A2" activePane="bottomLeft" state="frozen"/>
      <selection pane="bottomLeft" activeCell="F21" sqref="F21"/>
    </sheetView>
  </sheetViews>
  <sheetFormatPr defaultRowHeight="15.5" x14ac:dyDescent="0.35"/>
  <cols>
    <col min="1" max="1" width="32" style="4" customWidth="1"/>
    <col min="2" max="3" width="12" style="4" customWidth="1"/>
    <col min="4" max="4" width="10" style="4" customWidth="1"/>
    <col min="5" max="5" width="12" style="4" customWidth="1"/>
    <col min="6" max="6" width="14" style="4" customWidth="1"/>
    <col min="7" max="8" width="8.7265625" style="4" customWidth="1"/>
    <col min="9" max="16384" width="8.7265625" style="4"/>
  </cols>
  <sheetData>
    <row r="1" spans="1:6" ht="32" customHeight="1" x14ac:dyDescent="0.35">
      <c r="A1" s="32" t="s">
        <v>534</v>
      </c>
      <c r="B1" s="32" t="s">
        <v>535</v>
      </c>
      <c r="C1" s="32" t="s">
        <v>536</v>
      </c>
      <c r="D1" s="32" t="s">
        <v>258</v>
      </c>
      <c r="E1" s="32" t="s">
        <v>255</v>
      </c>
      <c r="F1" s="32" t="s">
        <v>492</v>
      </c>
    </row>
    <row r="2" spans="1:6" x14ac:dyDescent="0.35">
      <c r="A2" s="34"/>
      <c r="B2" s="34">
        <v>19094832</v>
      </c>
      <c r="C2" s="34">
        <v>4100105.6</v>
      </c>
      <c r="D2" s="46">
        <v>19110410.899999999</v>
      </c>
      <c r="E2" s="34">
        <v>-0.1</v>
      </c>
      <c r="F2" s="34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workbookViewId="0">
      <pane ySplit="1" topLeftCell="A23" activePane="bottomLeft" state="frozen"/>
      <selection pane="bottomLeft" activeCell="C3" sqref="C3"/>
    </sheetView>
  </sheetViews>
  <sheetFormatPr defaultRowHeight="15.5" x14ac:dyDescent="0.35"/>
  <cols>
    <col min="1" max="1" width="41.453125" style="4" customWidth="1"/>
    <col min="2" max="2" width="38.08984375" style="4" customWidth="1"/>
    <col min="3" max="3" width="62.54296875" style="4" customWidth="1"/>
    <col min="4" max="6" width="12" style="4" customWidth="1"/>
    <col min="7" max="7" width="17.54296875" style="4" customWidth="1"/>
    <col min="8" max="9" width="8.7265625" style="4" customWidth="1"/>
    <col min="10" max="16384" width="8.7265625" style="4"/>
  </cols>
  <sheetData>
    <row r="1" spans="1:7" ht="32" customHeight="1" x14ac:dyDescent="0.35">
      <c r="A1" s="32" t="s">
        <v>537</v>
      </c>
      <c r="B1" s="32" t="s">
        <v>35</v>
      </c>
      <c r="C1" s="32" t="s">
        <v>538</v>
      </c>
      <c r="D1" s="32" t="s">
        <v>535</v>
      </c>
      <c r="E1" s="32" t="s">
        <v>536</v>
      </c>
      <c r="F1" s="32" t="s">
        <v>257</v>
      </c>
      <c r="G1" s="32" t="s">
        <v>539</v>
      </c>
    </row>
    <row r="2" spans="1:7" x14ac:dyDescent="0.35">
      <c r="A2" s="34" t="s">
        <v>540</v>
      </c>
      <c r="B2" s="34" t="s">
        <v>541</v>
      </c>
      <c r="C2" s="34" t="s">
        <v>542</v>
      </c>
      <c r="D2" s="34">
        <v>260923.95699999999</v>
      </c>
      <c r="E2" s="34">
        <v>134099.81400000001</v>
      </c>
      <c r="F2" s="44">
        <v>126824</v>
      </c>
      <c r="G2" s="44">
        <v>94.6</v>
      </c>
    </row>
    <row r="3" spans="1:7" x14ac:dyDescent="0.35">
      <c r="A3" s="34" t="s">
        <v>543</v>
      </c>
      <c r="B3" s="34" t="s">
        <v>544</v>
      </c>
      <c r="C3" s="34" t="s">
        <v>545</v>
      </c>
      <c r="D3" s="34">
        <v>1105770.52</v>
      </c>
      <c r="E3" s="34">
        <v>1052172.4480000001</v>
      </c>
      <c r="F3" s="44">
        <v>53598</v>
      </c>
      <c r="G3" s="44">
        <v>5.0999999999999996</v>
      </c>
    </row>
    <row r="4" spans="1:7" x14ac:dyDescent="0.35">
      <c r="A4" s="34" t="s">
        <v>540</v>
      </c>
      <c r="B4" s="34" t="s">
        <v>546</v>
      </c>
      <c r="C4" s="34" t="s">
        <v>547</v>
      </c>
      <c r="D4" s="34">
        <v>353596.7</v>
      </c>
      <c r="E4" s="34">
        <v>304703.26199999999</v>
      </c>
      <c r="F4" s="44">
        <v>48893</v>
      </c>
      <c r="G4" s="44">
        <v>16</v>
      </c>
    </row>
    <row r="5" spans="1:7" x14ac:dyDescent="0.35">
      <c r="A5" s="34" t="s">
        <v>543</v>
      </c>
      <c r="B5" s="34" t="s">
        <v>541</v>
      </c>
      <c r="C5" s="34" t="s">
        <v>545</v>
      </c>
      <c r="D5" s="34">
        <v>570597.30000000005</v>
      </c>
      <c r="E5" s="34">
        <v>526577.995</v>
      </c>
      <c r="F5" s="44">
        <v>44019</v>
      </c>
      <c r="G5" s="44">
        <v>8.4</v>
      </c>
    </row>
    <row r="6" spans="1:7" x14ac:dyDescent="0.35">
      <c r="A6" s="34" t="s">
        <v>548</v>
      </c>
      <c r="B6" s="34" t="s">
        <v>544</v>
      </c>
      <c r="C6" s="34" t="s">
        <v>549</v>
      </c>
      <c r="D6" s="34">
        <v>194349.5</v>
      </c>
      <c r="E6" s="34">
        <v>160574.557</v>
      </c>
      <c r="F6" s="44">
        <v>33775</v>
      </c>
      <c r="G6" s="44">
        <v>21</v>
      </c>
    </row>
    <row r="7" spans="1:7" x14ac:dyDescent="0.35">
      <c r="A7" s="34" t="s">
        <v>550</v>
      </c>
      <c r="B7" s="34" t="s">
        <v>546</v>
      </c>
      <c r="C7" s="34" t="s">
        <v>551</v>
      </c>
      <c r="D7" s="34">
        <v>150171</v>
      </c>
      <c r="E7" s="34">
        <v>118657.641</v>
      </c>
      <c r="F7" s="44">
        <v>31513</v>
      </c>
      <c r="G7" s="44">
        <v>26.6</v>
      </c>
    </row>
    <row r="8" spans="1:7" x14ac:dyDescent="0.35">
      <c r="A8" s="34" t="s">
        <v>540</v>
      </c>
      <c r="B8" s="34" t="s">
        <v>544</v>
      </c>
      <c r="C8" s="34" t="s">
        <v>552</v>
      </c>
      <c r="D8" s="34">
        <v>94079</v>
      </c>
      <c r="E8" s="34">
        <v>62622.535000000003</v>
      </c>
      <c r="F8" s="44">
        <v>31456</v>
      </c>
      <c r="G8" s="44">
        <v>50.2</v>
      </c>
    </row>
    <row r="9" spans="1:7" x14ac:dyDescent="0.35">
      <c r="A9" s="34" t="s">
        <v>553</v>
      </c>
      <c r="B9" s="34" t="s">
        <v>544</v>
      </c>
      <c r="C9" s="34" t="s">
        <v>554</v>
      </c>
      <c r="D9" s="34">
        <v>156387.48000000001</v>
      </c>
      <c r="E9" s="34">
        <v>125769.98699999999</v>
      </c>
      <c r="F9" s="44">
        <v>30617</v>
      </c>
      <c r="G9" s="44">
        <v>24.3</v>
      </c>
    </row>
    <row r="10" spans="1:7" x14ac:dyDescent="0.35">
      <c r="A10" s="34" t="s">
        <v>540</v>
      </c>
      <c r="B10" s="34" t="s">
        <v>544</v>
      </c>
      <c r="C10" s="34" t="s">
        <v>555</v>
      </c>
      <c r="D10" s="34">
        <v>71143</v>
      </c>
      <c r="E10" s="34">
        <v>42616.858</v>
      </c>
      <c r="F10" s="44">
        <v>28526</v>
      </c>
      <c r="G10" s="44">
        <v>66.900000000000006</v>
      </c>
    </row>
    <row r="11" spans="1:7" x14ac:dyDescent="0.35">
      <c r="A11" s="34" t="s">
        <v>553</v>
      </c>
      <c r="B11" s="34" t="s">
        <v>541</v>
      </c>
      <c r="C11" s="34" t="s">
        <v>556</v>
      </c>
      <c r="D11" s="34">
        <v>77115.474000000002</v>
      </c>
      <c r="E11" s="34">
        <v>50256.917999999998</v>
      </c>
      <c r="F11" s="44">
        <v>26859</v>
      </c>
      <c r="G11" s="44">
        <v>53.4</v>
      </c>
    </row>
    <row r="12" spans="1:7" x14ac:dyDescent="0.35">
      <c r="A12" s="34" t="s">
        <v>543</v>
      </c>
      <c r="B12" s="34" t="s">
        <v>544</v>
      </c>
      <c r="C12" s="34" t="s">
        <v>557</v>
      </c>
      <c r="D12" s="34">
        <v>620543.58100000001</v>
      </c>
      <c r="E12" s="34">
        <v>600453.06500000006</v>
      </c>
      <c r="F12" s="44">
        <v>20091</v>
      </c>
      <c r="G12" s="44">
        <v>3.3</v>
      </c>
    </row>
    <row r="13" spans="1:7" x14ac:dyDescent="0.35">
      <c r="A13" s="34" t="s">
        <v>543</v>
      </c>
      <c r="B13" s="34" t="s">
        <v>541</v>
      </c>
      <c r="C13" s="34" t="s">
        <v>558</v>
      </c>
      <c r="D13" s="34">
        <v>62325.605000000003</v>
      </c>
      <c r="E13" s="34">
        <v>43145.372000000003</v>
      </c>
      <c r="F13" s="44">
        <v>19180</v>
      </c>
      <c r="G13" s="44">
        <v>44.5</v>
      </c>
    </row>
    <row r="14" spans="1:7" x14ac:dyDescent="0.35">
      <c r="A14" s="34" t="s">
        <v>543</v>
      </c>
      <c r="B14" s="34" t="s">
        <v>541</v>
      </c>
      <c r="C14" s="34" t="s">
        <v>559</v>
      </c>
      <c r="D14" s="34">
        <v>209564</v>
      </c>
      <c r="E14" s="34">
        <v>191458.799</v>
      </c>
      <c r="F14" s="44">
        <v>18105</v>
      </c>
      <c r="G14" s="44">
        <v>9.5</v>
      </c>
    </row>
    <row r="15" spans="1:7" x14ac:dyDescent="0.35">
      <c r="A15" s="34" t="s">
        <v>540</v>
      </c>
      <c r="B15" s="34" t="s">
        <v>541</v>
      </c>
      <c r="C15" s="34" t="s">
        <v>560</v>
      </c>
      <c r="D15" s="34">
        <v>35050</v>
      </c>
      <c r="E15" s="34">
        <v>17509.362000000001</v>
      </c>
      <c r="F15" s="44">
        <v>17541</v>
      </c>
      <c r="G15" s="44">
        <v>100.2</v>
      </c>
    </row>
    <row r="16" spans="1:7" x14ac:dyDescent="0.35">
      <c r="A16" s="34" t="s">
        <v>540</v>
      </c>
      <c r="B16" s="34" t="s">
        <v>544</v>
      </c>
      <c r="C16" s="34" t="s">
        <v>561</v>
      </c>
      <c r="D16" s="34">
        <v>29496</v>
      </c>
      <c r="E16" s="34">
        <v>12659.72</v>
      </c>
      <c r="F16" s="44">
        <v>16836</v>
      </c>
      <c r="G16" s="44">
        <v>133</v>
      </c>
    </row>
    <row r="17" spans="1:7" x14ac:dyDescent="0.35">
      <c r="A17" s="34" t="s">
        <v>553</v>
      </c>
      <c r="B17" s="34" t="s">
        <v>541</v>
      </c>
      <c r="C17" s="34" t="s">
        <v>562</v>
      </c>
      <c r="D17" s="34">
        <v>75420.77</v>
      </c>
      <c r="E17" s="34">
        <v>59574.502</v>
      </c>
      <c r="F17" s="44">
        <v>15846</v>
      </c>
      <c r="G17" s="44">
        <v>26.6</v>
      </c>
    </row>
    <row r="18" spans="1:7" x14ac:dyDescent="0.35">
      <c r="A18" s="34" t="s">
        <v>563</v>
      </c>
      <c r="B18" s="34" t="s">
        <v>544</v>
      </c>
      <c r="C18" s="34" t="s">
        <v>564</v>
      </c>
      <c r="D18" s="34">
        <v>110013</v>
      </c>
      <c r="E18" s="34">
        <v>94985.766000000003</v>
      </c>
      <c r="F18" s="44">
        <v>15027</v>
      </c>
      <c r="G18" s="44">
        <v>15.8</v>
      </c>
    </row>
    <row r="19" spans="1:7" x14ac:dyDescent="0.35">
      <c r="A19" s="34" t="s">
        <v>565</v>
      </c>
      <c r="B19" s="34" t="s">
        <v>544</v>
      </c>
      <c r="C19" s="34" t="s">
        <v>561</v>
      </c>
      <c r="D19" s="34">
        <v>146178</v>
      </c>
      <c r="E19" s="34">
        <v>132482.117</v>
      </c>
      <c r="F19" s="44">
        <v>13696</v>
      </c>
      <c r="G19" s="44">
        <v>10.3</v>
      </c>
    </row>
    <row r="20" spans="1:7" x14ac:dyDescent="0.35">
      <c r="A20" s="34" t="s">
        <v>563</v>
      </c>
      <c r="B20" s="34" t="s">
        <v>544</v>
      </c>
      <c r="C20" s="34" t="s">
        <v>549</v>
      </c>
      <c r="D20" s="34">
        <v>78670.16</v>
      </c>
      <c r="E20" s="34">
        <v>66414.995999999999</v>
      </c>
      <c r="F20" s="44">
        <v>12255</v>
      </c>
      <c r="G20" s="44">
        <v>18.5</v>
      </c>
    </row>
    <row r="21" spans="1:7" x14ac:dyDescent="0.35">
      <c r="A21" s="34" t="s">
        <v>553</v>
      </c>
      <c r="B21" s="34" t="s">
        <v>544</v>
      </c>
      <c r="C21" s="34" t="s">
        <v>566</v>
      </c>
      <c r="D21" s="34">
        <v>95969.885999999999</v>
      </c>
      <c r="E21" s="34">
        <v>84390.493000000002</v>
      </c>
      <c r="F21" s="44">
        <v>11579</v>
      </c>
      <c r="G21" s="44">
        <v>13.7</v>
      </c>
    </row>
    <row r="22" spans="1:7" x14ac:dyDescent="0.35">
      <c r="A22" s="34" t="s">
        <v>563</v>
      </c>
      <c r="B22" s="34" t="s">
        <v>541</v>
      </c>
      <c r="C22" s="34" t="s">
        <v>567</v>
      </c>
      <c r="D22" s="34">
        <v>23048.25</v>
      </c>
      <c r="E22" s="34">
        <v>11974.593999999999</v>
      </c>
      <c r="F22" s="44">
        <v>11074</v>
      </c>
      <c r="G22" s="44">
        <v>92.5</v>
      </c>
    </row>
    <row r="23" spans="1:7" x14ac:dyDescent="0.35">
      <c r="A23" s="34" t="s">
        <v>540</v>
      </c>
      <c r="B23" s="34" t="s">
        <v>544</v>
      </c>
      <c r="C23" s="34" t="s">
        <v>568</v>
      </c>
      <c r="D23" s="34">
        <v>40134.5</v>
      </c>
      <c r="E23" s="34">
        <v>29075.592000000001</v>
      </c>
      <c r="F23" s="44">
        <v>11059</v>
      </c>
      <c r="G23" s="44">
        <v>38</v>
      </c>
    </row>
    <row r="24" spans="1:7" x14ac:dyDescent="0.35">
      <c r="A24" s="34" t="s">
        <v>548</v>
      </c>
      <c r="B24" s="34" t="s">
        <v>544</v>
      </c>
      <c r="C24" s="34" t="s">
        <v>569</v>
      </c>
      <c r="D24" s="34">
        <v>19668.5</v>
      </c>
      <c r="E24" s="34">
        <v>8990.7440000000006</v>
      </c>
      <c r="F24" s="44">
        <v>10678</v>
      </c>
      <c r="G24" s="44">
        <v>118.8</v>
      </c>
    </row>
    <row r="25" spans="1:7" x14ac:dyDescent="0.35">
      <c r="A25" s="34" t="s">
        <v>543</v>
      </c>
      <c r="B25" s="34" t="s">
        <v>541</v>
      </c>
      <c r="C25" s="34" t="s">
        <v>570</v>
      </c>
      <c r="D25" s="34">
        <v>86899.5</v>
      </c>
      <c r="E25" s="34">
        <v>76298.430999999997</v>
      </c>
      <c r="F25" s="44">
        <v>10601</v>
      </c>
      <c r="G25" s="44">
        <v>13.9</v>
      </c>
    </row>
    <row r="26" spans="1:7" x14ac:dyDescent="0.35">
      <c r="A26" s="34" t="s">
        <v>563</v>
      </c>
      <c r="B26" s="34" t="s">
        <v>544</v>
      </c>
      <c r="C26" s="34" t="s">
        <v>571</v>
      </c>
      <c r="D26" s="34">
        <v>130264.5</v>
      </c>
      <c r="E26" s="34">
        <v>119889.406</v>
      </c>
      <c r="F26" s="44">
        <v>10375</v>
      </c>
      <c r="G26" s="44">
        <v>8.6999999999999993</v>
      </c>
    </row>
    <row r="27" spans="1:7" x14ac:dyDescent="0.35">
      <c r="A27" s="34" t="s">
        <v>565</v>
      </c>
      <c r="B27" s="34" t="s">
        <v>544</v>
      </c>
      <c r="C27" s="34" t="s">
        <v>572</v>
      </c>
      <c r="D27" s="34">
        <v>86341.735000000001</v>
      </c>
      <c r="E27" s="34">
        <v>76093.770999999993</v>
      </c>
      <c r="F27" s="44">
        <v>10248</v>
      </c>
      <c r="G27" s="44">
        <v>13.5</v>
      </c>
    </row>
    <row r="28" spans="1:7" x14ac:dyDescent="0.35">
      <c r="A28" s="34" t="s">
        <v>553</v>
      </c>
      <c r="B28" s="34" t="s">
        <v>541</v>
      </c>
      <c r="C28" s="34" t="s">
        <v>573</v>
      </c>
      <c r="D28" s="34">
        <v>23504.036</v>
      </c>
      <c r="E28" s="34">
        <v>13476.49</v>
      </c>
      <c r="F28" s="44">
        <v>10028</v>
      </c>
      <c r="G28" s="44">
        <v>74.400000000000006</v>
      </c>
    </row>
    <row r="29" spans="1:7" x14ac:dyDescent="0.35">
      <c r="A29" s="34" t="s">
        <v>574</v>
      </c>
      <c r="B29" s="34" t="s">
        <v>544</v>
      </c>
      <c r="C29" s="34" t="s">
        <v>575</v>
      </c>
      <c r="D29" s="34">
        <v>47301.72</v>
      </c>
      <c r="E29" s="34">
        <v>37669.065000000002</v>
      </c>
      <c r="F29" s="44">
        <v>9633</v>
      </c>
      <c r="G29" s="44">
        <v>25.6</v>
      </c>
    </row>
    <row r="30" spans="1:7" x14ac:dyDescent="0.35">
      <c r="A30" s="34" t="s">
        <v>543</v>
      </c>
      <c r="B30" s="34" t="s">
        <v>544</v>
      </c>
      <c r="C30" s="34" t="s">
        <v>576</v>
      </c>
      <c r="D30" s="34">
        <v>81641.182000000001</v>
      </c>
      <c r="E30" s="34">
        <v>72036.820000000007</v>
      </c>
      <c r="F30" s="44">
        <v>9604</v>
      </c>
      <c r="G30" s="44">
        <v>13.3</v>
      </c>
    </row>
    <row r="31" spans="1:7" x14ac:dyDescent="0.35">
      <c r="A31" s="34" t="s">
        <v>577</v>
      </c>
      <c r="B31" s="34" t="s">
        <v>541</v>
      </c>
      <c r="C31" s="34" t="s">
        <v>562</v>
      </c>
      <c r="D31" s="34">
        <v>58782</v>
      </c>
      <c r="E31" s="34">
        <v>49201.319000000003</v>
      </c>
      <c r="F31" s="44">
        <v>9581</v>
      </c>
      <c r="G31" s="44">
        <v>19.5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1"/>
  <sheetViews>
    <sheetView workbookViewId="0">
      <pane ySplit="1" topLeftCell="A2" activePane="bottomLeft" state="frozen"/>
      <selection pane="bottomLeft" activeCell="E19" sqref="E19"/>
    </sheetView>
  </sheetViews>
  <sheetFormatPr defaultRowHeight="15.5" x14ac:dyDescent="0.35"/>
  <cols>
    <col min="1" max="1" width="35.08984375" style="4" customWidth="1"/>
    <col min="2" max="2" width="26.36328125" style="4" customWidth="1"/>
    <col min="3" max="3" width="58.08984375" style="4" customWidth="1"/>
    <col min="4" max="6" width="12" style="4" customWidth="1"/>
    <col min="7" max="7" width="14.54296875" style="4" customWidth="1"/>
    <col min="8" max="9" width="8.7265625" style="4" customWidth="1"/>
    <col min="10" max="16384" width="8.7265625" style="4"/>
  </cols>
  <sheetData>
    <row r="1" spans="1:7" ht="32" customHeight="1" x14ac:dyDescent="0.35">
      <c r="A1" s="32" t="s">
        <v>537</v>
      </c>
      <c r="B1" s="32" t="s">
        <v>35</v>
      </c>
      <c r="C1" s="32" t="s">
        <v>538</v>
      </c>
      <c r="D1" s="32" t="s">
        <v>535</v>
      </c>
      <c r="E1" s="32" t="s">
        <v>536</v>
      </c>
      <c r="F1" s="32" t="s">
        <v>257</v>
      </c>
      <c r="G1" s="32" t="s">
        <v>539</v>
      </c>
    </row>
    <row r="2" spans="1:7" x14ac:dyDescent="0.35">
      <c r="A2" s="34" t="s">
        <v>543</v>
      </c>
      <c r="B2" s="34" t="s">
        <v>541</v>
      </c>
      <c r="C2" s="34" t="s">
        <v>542</v>
      </c>
      <c r="D2" s="34">
        <v>185014.614</v>
      </c>
      <c r="E2" s="34">
        <v>292048.42700000003</v>
      </c>
      <c r="F2" s="46">
        <v>-107034</v>
      </c>
      <c r="G2" s="46">
        <v>-36.6</v>
      </c>
    </row>
    <row r="3" spans="1:7" x14ac:dyDescent="0.35">
      <c r="A3" s="34" t="s">
        <v>578</v>
      </c>
      <c r="B3" s="34" t="s">
        <v>546</v>
      </c>
      <c r="C3" s="34" t="s">
        <v>547</v>
      </c>
      <c r="D3" s="34">
        <v>0</v>
      </c>
      <c r="E3" s="34">
        <v>79784.5</v>
      </c>
      <c r="F3" s="46">
        <v>-79784</v>
      </c>
      <c r="G3" s="46">
        <v>-100</v>
      </c>
    </row>
    <row r="4" spans="1:7" x14ac:dyDescent="0.35">
      <c r="A4" s="34" t="s">
        <v>548</v>
      </c>
      <c r="B4" s="34" t="s">
        <v>544</v>
      </c>
      <c r="C4" s="34" t="s">
        <v>555</v>
      </c>
      <c r="D4" s="34">
        <v>95931.8</v>
      </c>
      <c r="E4" s="34">
        <v>166943.476</v>
      </c>
      <c r="F4" s="46">
        <v>-71012</v>
      </c>
      <c r="G4" s="46">
        <v>-42.5</v>
      </c>
    </row>
    <row r="5" spans="1:7" x14ac:dyDescent="0.35">
      <c r="A5" s="34" t="s">
        <v>548</v>
      </c>
      <c r="B5" s="34" t="s">
        <v>541</v>
      </c>
      <c r="C5" s="34" t="s">
        <v>579</v>
      </c>
      <c r="D5" s="34">
        <v>114254.425</v>
      </c>
      <c r="E5" s="34">
        <v>172979.639</v>
      </c>
      <c r="F5" s="46">
        <v>-58725</v>
      </c>
      <c r="G5" s="46">
        <v>-33.9</v>
      </c>
    </row>
    <row r="6" spans="1:7" x14ac:dyDescent="0.35">
      <c r="A6" s="34" t="s">
        <v>543</v>
      </c>
      <c r="B6" s="34" t="s">
        <v>544</v>
      </c>
      <c r="C6" s="34" t="s">
        <v>552</v>
      </c>
      <c r="D6" s="34">
        <v>720545.75</v>
      </c>
      <c r="E6" s="34">
        <v>773801.16899999999</v>
      </c>
      <c r="F6" s="46">
        <v>-53255</v>
      </c>
      <c r="G6" s="46">
        <v>-6.9</v>
      </c>
    </row>
    <row r="7" spans="1:7" x14ac:dyDescent="0.35">
      <c r="A7" s="34" t="s">
        <v>548</v>
      </c>
      <c r="B7" s="34" t="s">
        <v>541</v>
      </c>
      <c r="C7" s="34" t="s">
        <v>580</v>
      </c>
      <c r="D7" s="34">
        <v>86885.4</v>
      </c>
      <c r="E7" s="34">
        <v>134239.897</v>
      </c>
      <c r="F7" s="46">
        <v>-47354</v>
      </c>
      <c r="G7" s="46">
        <v>-35.299999999999997</v>
      </c>
    </row>
    <row r="8" spans="1:7" x14ac:dyDescent="0.35">
      <c r="A8" s="34" t="s">
        <v>548</v>
      </c>
      <c r="B8" s="34" t="s">
        <v>541</v>
      </c>
      <c r="C8" s="34" t="s">
        <v>581</v>
      </c>
      <c r="D8" s="34">
        <v>93643.79</v>
      </c>
      <c r="E8" s="34">
        <v>140018.68100000001</v>
      </c>
      <c r="F8" s="46">
        <v>-46375</v>
      </c>
      <c r="G8" s="46">
        <v>-33.1</v>
      </c>
    </row>
    <row r="9" spans="1:7" x14ac:dyDescent="0.35">
      <c r="A9" s="34" t="s">
        <v>548</v>
      </c>
      <c r="B9" s="34" t="s">
        <v>541</v>
      </c>
      <c r="C9" s="34" t="s">
        <v>582</v>
      </c>
      <c r="D9" s="34">
        <v>55687.205000000002</v>
      </c>
      <c r="E9" s="34">
        <v>87506.959000000003</v>
      </c>
      <c r="F9" s="46">
        <v>-31820</v>
      </c>
      <c r="G9" s="46">
        <v>-36.4</v>
      </c>
    </row>
    <row r="10" spans="1:7" x14ac:dyDescent="0.35">
      <c r="A10" s="34" t="s">
        <v>543</v>
      </c>
      <c r="B10" s="34" t="s">
        <v>544</v>
      </c>
      <c r="C10" s="34" t="s">
        <v>583</v>
      </c>
      <c r="D10" s="34">
        <v>2911.8</v>
      </c>
      <c r="E10" s="34">
        <v>34290.819000000003</v>
      </c>
      <c r="F10" s="46">
        <v>-31379</v>
      </c>
      <c r="G10" s="46">
        <v>-91.5</v>
      </c>
    </row>
    <row r="11" spans="1:7" x14ac:dyDescent="0.35">
      <c r="A11" s="34" t="s">
        <v>548</v>
      </c>
      <c r="B11" s="34" t="s">
        <v>544</v>
      </c>
      <c r="C11" s="34" t="s">
        <v>584</v>
      </c>
      <c r="D11" s="34">
        <v>63085.959000000003</v>
      </c>
      <c r="E11" s="34">
        <v>93960.057000000001</v>
      </c>
      <c r="F11" s="46">
        <v>-30874</v>
      </c>
      <c r="G11" s="46">
        <v>-32.9</v>
      </c>
    </row>
    <row r="12" spans="1:7" x14ac:dyDescent="0.35">
      <c r="A12" s="34" t="s">
        <v>548</v>
      </c>
      <c r="B12" s="34" t="s">
        <v>544</v>
      </c>
      <c r="C12" s="34" t="s">
        <v>585</v>
      </c>
      <c r="D12" s="34">
        <v>65164.4</v>
      </c>
      <c r="E12" s="34">
        <v>95978.906000000003</v>
      </c>
      <c r="F12" s="46">
        <v>-30815</v>
      </c>
      <c r="G12" s="46">
        <v>-32.1</v>
      </c>
    </row>
    <row r="13" spans="1:7" x14ac:dyDescent="0.35">
      <c r="A13" s="34" t="s">
        <v>548</v>
      </c>
      <c r="B13" s="34" t="s">
        <v>544</v>
      </c>
      <c r="C13" s="34" t="s">
        <v>586</v>
      </c>
      <c r="D13" s="34">
        <v>73403.7</v>
      </c>
      <c r="E13" s="34">
        <v>102891.60799999999</v>
      </c>
      <c r="F13" s="46">
        <v>-29488</v>
      </c>
      <c r="G13" s="46">
        <v>-28.7</v>
      </c>
    </row>
    <row r="14" spans="1:7" x14ac:dyDescent="0.35">
      <c r="A14" s="34" t="s">
        <v>540</v>
      </c>
      <c r="B14" s="34" t="s">
        <v>544</v>
      </c>
      <c r="C14" s="34" t="s">
        <v>557</v>
      </c>
      <c r="D14" s="34">
        <v>261754.8</v>
      </c>
      <c r="E14" s="34">
        <v>289637.43900000001</v>
      </c>
      <c r="F14" s="46">
        <v>-27883</v>
      </c>
      <c r="G14" s="46">
        <v>-9.6</v>
      </c>
    </row>
    <row r="15" spans="1:7" x14ac:dyDescent="0.35">
      <c r="A15" s="34" t="s">
        <v>548</v>
      </c>
      <c r="B15" s="34" t="s">
        <v>541</v>
      </c>
      <c r="C15" s="34" t="s">
        <v>587</v>
      </c>
      <c r="D15" s="34">
        <v>70733.485000000001</v>
      </c>
      <c r="E15" s="34">
        <v>96458.547999999995</v>
      </c>
      <c r="F15" s="46">
        <v>-25725</v>
      </c>
      <c r="G15" s="46">
        <v>-26.7</v>
      </c>
    </row>
    <row r="16" spans="1:7" x14ac:dyDescent="0.35">
      <c r="A16" s="34" t="s">
        <v>548</v>
      </c>
      <c r="B16" s="34" t="s">
        <v>541</v>
      </c>
      <c r="C16" s="34" t="s">
        <v>588</v>
      </c>
      <c r="D16" s="34">
        <v>82375.42</v>
      </c>
      <c r="E16" s="34">
        <v>107629.99099999999</v>
      </c>
      <c r="F16" s="46">
        <v>-25255</v>
      </c>
      <c r="G16" s="46">
        <v>-23.5</v>
      </c>
    </row>
    <row r="17" spans="1:7" x14ac:dyDescent="0.35">
      <c r="A17" s="34" t="s">
        <v>548</v>
      </c>
      <c r="B17" s="34" t="s">
        <v>541</v>
      </c>
      <c r="C17" s="34" t="s">
        <v>589</v>
      </c>
      <c r="D17" s="34">
        <v>42048.351999999999</v>
      </c>
      <c r="E17" s="34">
        <v>63823.762000000002</v>
      </c>
      <c r="F17" s="46">
        <v>-21775</v>
      </c>
      <c r="G17" s="46">
        <v>-34.1</v>
      </c>
    </row>
    <row r="18" spans="1:7" x14ac:dyDescent="0.35">
      <c r="A18" s="34" t="s">
        <v>553</v>
      </c>
      <c r="B18" s="34" t="s">
        <v>541</v>
      </c>
      <c r="C18" s="34" t="s">
        <v>570</v>
      </c>
      <c r="D18" s="34">
        <v>20627.5</v>
      </c>
      <c r="E18" s="34">
        <v>38445.873</v>
      </c>
      <c r="F18" s="46">
        <v>-17818</v>
      </c>
      <c r="G18" s="46">
        <v>-46.3</v>
      </c>
    </row>
    <row r="19" spans="1:7" x14ac:dyDescent="0.35">
      <c r="A19" s="34" t="s">
        <v>548</v>
      </c>
      <c r="B19" s="34" t="s">
        <v>541</v>
      </c>
      <c r="C19" s="34" t="s">
        <v>590</v>
      </c>
      <c r="D19" s="34">
        <v>86353.73</v>
      </c>
      <c r="E19" s="34">
        <v>101588.302</v>
      </c>
      <c r="F19" s="46">
        <v>-15235</v>
      </c>
      <c r="G19" s="46">
        <v>-15</v>
      </c>
    </row>
    <row r="20" spans="1:7" x14ac:dyDescent="0.35">
      <c r="A20" s="34" t="s">
        <v>540</v>
      </c>
      <c r="B20" s="34" t="s">
        <v>544</v>
      </c>
      <c r="C20" s="34" t="s">
        <v>572</v>
      </c>
      <c r="D20" s="34">
        <v>34501.599999999999</v>
      </c>
      <c r="E20" s="34">
        <v>49134.033000000003</v>
      </c>
      <c r="F20" s="46">
        <v>-14632</v>
      </c>
      <c r="G20" s="46">
        <v>-29.8</v>
      </c>
    </row>
    <row r="21" spans="1:7" x14ac:dyDescent="0.35">
      <c r="A21" s="34" t="s">
        <v>548</v>
      </c>
      <c r="B21" s="34" t="s">
        <v>541</v>
      </c>
      <c r="C21" s="34" t="s">
        <v>591</v>
      </c>
      <c r="D21" s="34">
        <v>27996.799999999999</v>
      </c>
      <c r="E21" s="34">
        <v>41047.078999999998</v>
      </c>
      <c r="F21" s="46">
        <v>-13050</v>
      </c>
      <c r="G21" s="46">
        <v>-31.8</v>
      </c>
    </row>
    <row r="22" spans="1:7" x14ac:dyDescent="0.35">
      <c r="A22" s="34" t="s">
        <v>548</v>
      </c>
      <c r="B22" s="34" t="s">
        <v>541</v>
      </c>
      <c r="C22" s="34" t="s">
        <v>592</v>
      </c>
      <c r="D22" s="34">
        <v>11983.4</v>
      </c>
      <c r="E22" s="34">
        <v>22541.561000000002</v>
      </c>
      <c r="F22" s="46">
        <v>-10558</v>
      </c>
      <c r="G22" s="46">
        <v>-46.8</v>
      </c>
    </row>
    <row r="23" spans="1:7" x14ac:dyDescent="0.35">
      <c r="A23" s="34" t="s">
        <v>540</v>
      </c>
      <c r="B23" s="34" t="s">
        <v>546</v>
      </c>
      <c r="C23" s="34" t="s">
        <v>551</v>
      </c>
      <c r="D23" s="34">
        <v>1857544.777</v>
      </c>
      <c r="E23" s="34">
        <v>1868046.01</v>
      </c>
      <c r="F23" s="46">
        <v>-10501</v>
      </c>
      <c r="G23" s="46">
        <v>-0.6</v>
      </c>
    </row>
    <row r="24" spans="1:7" x14ac:dyDescent="0.35">
      <c r="A24" s="34" t="s">
        <v>548</v>
      </c>
      <c r="B24" s="34" t="s">
        <v>541</v>
      </c>
      <c r="C24" s="34" t="s">
        <v>562</v>
      </c>
      <c r="D24" s="34">
        <v>96178.05</v>
      </c>
      <c r="E24" s="34">
        <v>106666.93</v>
      </c>
      <c r="F24" s="46">
        <v>-10489</v>
      </c>
      <c r="G24" s="46">
        <v>-9.8000000000000007</v>
      </c>
    </row>
    <row r="25" spans="1:7" x14ac:dyDescent="0.35">
      <c r="A25" s="34" t="s">
        <v>548</v>
      </c>
      <c r="B25" s="34" t="s">
        <v>541</v>
      </c>
      <c r="C25" s="34" t="s">
        <v>593</v>
      </c>
      <c r="D25" s="34">
        <v>81666.149999999994</v>
      </c>
      <c r="E25" s="34">
        <v>92042.994999999995</v>
      </c>
      <c r="F25" s="46">
        <v>-10377</v>
      </c>
      <c r="G25" s="46">
        <v>-11.3</v>
      </c>
    </row>
    <row r="26" spans="1:7" x14ac:dyDescent="0.35">
      <c r="A26" s="34" t="s">
        <v>565</v>
      </c>
      <c r="B26" s="34" t="s">
        <v>541</v>
      </c>
      <c r="C26" s="34" t="s">
        <v>559</v>
      </c>
      <c r="D26" s="34">
        <v>76106.707999999999</v>
      </c>
      <c r="E26" s="34">
        <v>86230.384000000005</v>
      </c>
      <c r="F26" s="46">
        <v>-10124</v>
      </c>
      <c r="G26" s="46">
        <v>-11.7</v>
      </c>
    </row>
    <row r="27" spans="1:7" x14ac:dyDescent="0.35">
      <c r="A27" s="34" t="s">
        <v>563</v>
      </c>
      <c r="B27" s="34" t="s">
        <v>544</v>
      </c>
      <c r="C27" s="34" t="s">
        <v>554</v>
      </c>
      <c r="D27" s="34">
        <v>121996</v>
      </c>
      <c r="E27" s="34">
        <v>131946.92600000001</v>
      </c>
      <c r="F27" s="46">
        <v>-9951</v>
      </c>
      <c r="G27" s="46">
        <v>-7.5</v>
      </c>
    </row>
    <row r="28" spans="1:7" x14ac:dyDescent="0.35">
      <c r="A28" s="34" t="s">
        <v>543</v>
      </c>
      <c r="B28" s="34" t="s">
        <v>544</v>
      </c>
      <c r="C28" s="34" t="s">
        <v>568</v>
      </c>
      <c r="D28" s="34">
        <v>207760.05499999999</v>
      </c>
      <c r="E28" s="34">
        <v>217630.31599999999</v>
      </c>
      <c r="F28" s="46">
        <v>-9870</v>
      </c>
      <c r="G28" s="46">
        <v>-4.5</v>
      </c>
    </row>
    <row r="29" spans="1:7" x14ac:dyDescent="0.35">
      <c r="A29" s="34" t="s">
        <v>548</v>
      </c>
      <c r="B29" s="34" t="s">
        <v>541</v>
      </c>
      <c r="C29" s="34" t="s">
        <v>594</v>
      </c>
      <c r="D29" s="34">
        <v>115845.916</v>
      </c>
      <c r="E29" s="34">
        <v>125691.74</v>
      </c>
      <c r="F29" s="46">
        <v>-9846</v>
      </c>
      <c r="G29" s="46">
        <v>-7.8</v>
      </c>
    </row>
    <row r="30" spans="1:7" x14ac:dyDescent="0.35">
      <c r="A30" s="34" t="s">
        <v>540</v>
      </c>
      <c r="B30" s="34" t="s">
        <v>546</v>
      </c>
      <c r="C30" s="34" t="s">
        <v>595</v>
      </c>
      <c r="D30" s="34">
        <v>898591.4</v>
      </c>
      <c r="E30" s="34">
        <v>908322.34499999997</v>
      </c>
      <c r="F30" s="46">
        <v>-9731</v>
      </c>
      <c r="G30" s="46">
        <v>-1.1000000000000001</v>
      </c>
    </row>
    <row r="31" spans="1:7" x14ac:dyDescent="0.35">
      <c r="A31" s="34" t="s">
        <v>548</v>
      </c>
      <c r="B31" s="34" t="s">
        <v>544</v>
      </c>
      <c r="C31" s="34" t="s">
        <v>596</v>
      </c>
      <c r="D31" s="34">
        <v>17407.8</v>
      </c>
      <c r="E31" s="34">
        <v>26752.217000000001</v>
      </c>
      <c r="F31" s="46">
        <v>-9344</v>
      </c>
      <c r="G31" s="46">
        <v>-34.9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>
      <selection activeCell="D6" sqref="D6"/>
    </sheetView>
  </sheetViews>
  <sheetFormatPr defaultRowHeight="15.5" x14ac:dyDescent="0.35"/>
  <cols>
    <col min="1" max="1" width="7" style="4" customWidth="1"/>
    <col min="2" max="2" width="42.36328125" style="4" customWidth="1"/>
    <col min="3" max="3" width="29.36328125" style="4" customWidth="1"/>
    <col min="4" max="4" width="74.90625" style="4" customWidth="1"/>
    <col min="5" max="5" width="58.81640625" style="4" customWidth="1"/>
    <col min="6" max="6" width="53.81640625" style="4" customWidth="1"/>
    <col min="7" max="8" width="8.7265625" style="4" customWidth="1"/>
    <col min="9" max="16384" width="8.7265625" style="4"/>
  </cols>
  <sheetData>
    <row r="1" spans="1:6" ht="21" customHeight="1" x14ac:dyDescent="0.35">
      <c r="A1" s="77" t="s">
        <v>597</v>
      </c>
      <c r="B1" s="75"/>
      <c r="C1" s="75"/>
      <c r="D1" s="75"/>
      <c r="E1" s="75"/>
      <c r="F1" s="75"/>
    </row>
    <row r="2" spans="1:6" x14ac:dyDescent="0.35">
      <c r="A2" s="83" t="s">
        <v>598</v>
      </c>
      <c r="B2" s="75"/>
      <c r="C2" s="75"/>
      <c r="D2" s="75"/>
      <c r="E2" s="75"/>
      <c r="F2" s="75"/>
    </row>
    <row r="3" spans="1:6" x14ac:dyDescent="0.35">
      <c r="A3" s="5" t="s">
        <v>599</v>
      </c>
      <c r="B3" s="5" t="s">
        <v>600</v>
      </c>
      <c r="C3" s="5" t="s">
        <v>601</v>
      </c>
      <c r="D3" s="5" t="s">
        <v>602</v>
      </c>
      <c r="E3" s="5" t="s">
        <v>603</v>
      </c>
      <c r="F3" s="5" t="s">
        <v>604</v>
      </c>
    </row>
    <row r="4" spans="1:6" ht="32" customHeight="1" x14ac:dyDescent="0.35">
      <c r="A4" s="6" t="s">
        <v>605</v>
      </c>
      <c r="B4" s="51" t="s">
        <v>606</v>
      </c>
      <c r="C4" s="51" t="s">
        <v>607</v>
      </c>
      <c r="D4" s="51" t="s">
        <v>608</v>
      </c>
      <c r="E4" s="51" t="s">
        <v>609</v>
      </c>
      <c r="F4" s="51" t="s">
        <v>610</v>
      </c>
    </row>
    <row r="5" spans="1:6" ht="80" customHeight="1" x14ac:dyDescent="0.35">
      <c r="A5" s="9" t="s">
        <v>611</v>
      </c>
      <c r="B5" s="51" t="s">
        <v>612</v>
      </c>
      <c r="C5" s="51" t="s">
        <v>613</v>
      </c>
      <c r="D5" s="51" t="s">
        <v>614</v>
      </c>
      <c r="E5" s="51" t="s">
        <v>615</v>
      </c>
      <c r="F5" s="51" t="s">
        <v>616</v>
      </c>
    </row>
    <row r="6" spans="1:6" ht="80" customHeight="1" x14ac:dyDescent="0.35">
      <c r="A6" s="10" t="s">
        <v>617</v>
      </c>
      <c r="B6" s="51" t="s">
        <v>618</v>
      </c>
      <c r="C6" s="51" t="s">
        <v>619</v>
      </c>
      <c r="D6" s="51" t="s">
        <v>620</v>
      </c>
      <c r="E6" s="51" t="s">
        <v>621</v>
      </c>
      <c r="F6" s="51" t="s">
        <v>622</v>
      </c>
    </row>
    <row r="7" spans="1:6" ht="80" customHeight="1" x14ac:dyDescent="0.35">
      <c r="A7" s="11" t="s">
        <v>623</v>
      </c>
      <c r="B7" s="51" t="s">
        <v>624</v>
      </c>
      <c r="C7" s="51" t="s">
        <v>625</v>
      </c>
      <c r="D7" s="51" t="s">
        <v>626</v>
      </c>
      <c r="E7" s="51" t="s">
        <v>627</v>
      </c>
      <c r="F7" s="51" t="s">
        <v>628</v>
      </c>
    </row>
    <row r="8" spans="1:6" ht="80" customHeight="1" x14ac:dyDescent="0.35"/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Top 5 Comparison</vt:lpstr>
      <vt:lpstr>Ranking Methodology</vt:lpstr>
      <vt:lpstr>All Metros</vt:lpstr>
      <vt:lpstr>Mill-WH Distances</vt:lpstr>
      <vt:lpstr>Metro Mill Distances</vt:lpstr>
      <vt:lpstr>Distributor Performance</vt:lpstr>
      <vt:lpstr>Territory Performance</vt:lpstr>
      <vt:lpstr>Region Performance</vt:lpstr>
      <vt:lpstr>Top Cities (Flour)</vt:lpstr>
      <vt:lpstr>Sub-Segment Mix</vt:lpstr>
      <vt:lpstr>Product Mix BS-DL-Custom</vt:lpstr>
      <vt:lpstr>Top Winners</vt:lpstr>
      <vt:lpstr>Top Losers</vt:lpstr>
      <vt:lpstr>Phased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Gilstein</cp:lastModifiedBy>
  <dcterms:created xsi:type="dcterms:W3CDTF">2026-05-21T04:20:54Z</dcterms:created>
  <dcterms:modified xsi:type="dcterms:W3CDTF">2026-05-28T21:35:51Z</dcterms:modified>
</cp:coreProperties>
</file>