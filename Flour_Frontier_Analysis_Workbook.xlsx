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enmills-my.sharepoint.com/personal/jake_gilstein_genmills_com/Documents/Desktop/Website Files/"/>
    </mc:Choice>
  </mc:AlternateContent>
  <xr:revisionPtr revIDLastSave="0" documentId="8_{50E01627-B622-484C-A94D-EEAEB8A7A2C8}" xr6:coauthVersionLast="47" xr6:coauthVersionMax="47" xr10:uidLastSave="{00000000-0000-0000-0000-000000000000}"/>
  <bookViews>
    <workbookView xWindow="57480" yWindow="-120" windowWidth="29040" windowHeight="15720" activeTab="2" xr2:uid="{00000000-000D-0000-FFFF-FFFF00000000}"/>
  </bookViews>
  <sheets>
    <sheet name="Dashboard" sheetId="1" r:id="rId1"/>
    <sheet name="Methodology" sheetId="5" r:id="rId2"/>
    <sheet name="Lens Scores" sheetId="3" r:id="rId3"/>
    <sheet name="Top &amp; Bottom Views" sheetId="4" r:id="rId4"/>
    <sheet name="All Cities Ranking" sheetId="2" r:id="rId5"/>
    <sheet name="Raw National Map" sheetId="7" r:id="rId6"/>
    <sheet name="Source Notes"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E12" i="1"/>
  <c r="B13" i="1"/>
  <c r="E13" i="1"/>
  <c r="B14" i="1"/>
  <c r="E14" i="1"/>
  <c r="F14" i="1"/>
  <c r="B15" i="1"/>
  <c r="C15" i="1"/>
  <c r="E15" i="1"/>
  <c r="F15" i="1"/>
  <c r="B16" i="1"/>
  <c r="E16" i="1"/>
  <c r="E51" i="2"/>
  <c r="F12" i="1" s="1"/>
  <c r="E50" i="2"/>
  <c r="F13" i="1" s="1"/>
  <c r="E49" i="2"/>
  <c r="E48" i="2"/>
  <c r="E47" i="2"/>
  <c r="F16" i="1" s="1"/>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C16" i="1" s="1"/>
  <c r="E5" i="2"/>
  <c r="E4" i="2"/>
  <c r="C14" i="1" s="1"/>
  <c r="E3" i="2"/>
  <c r="C13" i="1" s="1"/>
  <c r="E2" i="2"/>
  <c r="C12" i="1" s="1"/>
</calcChain>
</file>

<file path=xl/sharedStrings.xml><?xml version="1.0" encoding="utf-8"?>
<sst xmlns="http://schemas.openxmlformats.org/spreadsheetml/2006/main" count="2112" uniqueCount="777">
  <si>
    <t>Sensitivity Lens</t>
  </si>
  <si>
    <t>Weight</t>
  </si>
  <si>
    <t>What it means</t>
  </si>
  <si>
    <t>Market Opportunity</t>
  </si>
  <si>
    <t>30%</t>
  </si>
  <si>
    <t>Size of the prize: market size, gap to parity, underpenetration, accessible distributor/operator base.</t>
  </si>
  <si>
    <t>GMI Performance</t>
  </si>
  <si>
    <t>20%</t>
  </si>
  <si>
    <t>Whether GMI is growing or losing ground; recent YoY performance and repeatability of wins/losses.</t>
  </si>
  <si>
    <t>Economic Stability</t>
  </si>
  <si>
    <t>15%</t>
  </si>
  <si>
    <t>Consistency of local economy, industry diversity, and resilience of foodservice/bakery demand.</t>
  </si>
  <si>
    <t>Future Growth</t>
  </si>
  <si>
    <t>Population growth and migration momentum only.</t>
  </si>
  <si>
    <t>HQ Inflow</t>
  </si>
  <si>
    <t>10%</t>
  </si>
  <si>
    <t>Company movement, corporate anchors, industry mix, and how those affect foodservice density.</t>
  </si>
  <si>
    <t>Transport Quality</t>
  </si>
  <si>
    <t>Cost-to-serve based on proximity to mills/warehouses and truck vs intermodal complexity.</t>
  </si>
  <si>
    <t>Top 5 Overall</t>
  </si>
  <si>
    <t>Bottom 5 Overall</t>
  </si>
  <si>
    <t>Rank</t>
  </si>
  <si>
    <t>City</t>
  </si>
  <si>
    <t>Weighted Score</t>
  </si>
  <si>
    <t>Overall Rank</t>
  </si>
  <si>
    <t>City / Metro</t>
  </si>
  <si>
    <t>Opportunity Tier</t>
  </si>
  <si>
    <t>Key Action</t>
  </si>
  <si>
    <t>Market Opportunity Score</t>
  </si>
  <si>
    <t>GMI Performance Score</t>
  </si>
  <si>
    <t>Economic Stability Score</t>
  </si>
  <si>
    <t>HQ Inflow Score</t>
  </si>
  <si>
    <t>Transport Quality Score</t>
  </si>
  <si>
    <t>Map Score</t>
  </si>
  <si>
    <t>Locked True 5 Rank</t>
  </si>
  <si>
    <t>Region</t>
  </si>
  <si>
    <t>GMI Zone</t>
  </si>
  <si>
    <t>AE / Owner</t>
  </si>
  <si>
    <t>Top Distributor</t>
  </si>
  <si>
    <t>HQ Inflow / Companies</t>
  </si>
  <si>
    <t>Industries</t>
  </si>
  <si>
    <t>Map Volume / Index Field</t>
  </si>
  <si>
    <t>Map YoY Field</t>
  </si>
  <si>
    <t>10-Year Growth Field</t>
  </si>
  <si>
    <t>Mill / Warehouse / Transport</t>
  </si>
  <si>
    <t>DMA Match</t>
  </si>
  <si>
    <t>Total Industry Lbs</t>
  </si>
  <si>
    <t>GMI Lbs</t>
  </si>
  <si>
    <t>GMI Growth</t>
  </si>
  <si>
    <t>GMI Index Calc</t>
  </si>
  <si>
    <t>Why It Ranks Here</t>
  </si>
  <si>
    <t>Houston</t>
  </si>
  <si>
    <t>True 5 Priority</t>
  </si>
  <si>
    <t>Prioritize</t>
  </si>
  <si>
    <t>South</t>
  </si>
  <si>
    <t>WEST (Mueting)</t>
  </si>
  <si>
    <t>Gus Patrick</t>
  </si>
  <si>
    <t>Labatt-San Antonio, Sysco-Houston</t>
  </si>
  <si>
    <t>Sysco, Hewlett Packard Enterprise, Phillips 66</t>
  </si>
  <si>
    <t>Energy, petrochem, healthcare, hospitality, education</t>
  </si>
  <si>
    <t>~88K (8.8M lb · Index 49 vs 100 parity)</t>
  </si>
  <si>
    <t>-4%</t>
  </si>
  <si>
    <t>+15-19%</t>
  </si>
  <si>
    <t>Kansas City (462 mi to Arlington WH, +240 mi truck) | Arlington WH (240 mi) | Intermodal + truck</t>
  </si>
  <si>
    <t>GMI Index 49, biggest market opportunity in the country. ~8.8M lb annual gap to parity.</t>
  </si>
  <si>
    <t>Dallas-Fort Worth</t>
  </si>
  <si>
    <t>Open (Melissa Magsalin)</t>
  </si>
  <si>
    <t>Sysco-Central TX, Sysco-North TX</t>
  </si>
  <si>
    <t>Toyota, AT&amp;T, McKesson, Charles Schwab</t>
  </si>
  <si>
    <t>Tech, finance, logistics, hospitality, manufacturing</t>
  </si>
  <si>
    <t>~145K</t>
  </si>
  <si>
    <t>-12%</t>
  </si>
  <si>
    <t>+18-22%</t>
  </si>
  <si>
    <t>Kansas City (462 mi) | Arlington WH (25 mi) | Truck → Arlington WH</t>
  </si>
  <si>
    <t>DFW market growing +5.3% YoY. Sysco-CTX -38%, Sysco-NTX -36% are execution issues, not market issues.</t>
  </si>
  <si>
    <t>Atlanta</t>
  </si>
  <si>
    <t>EAST (Tiemeyer)</t>
  </si>
  <si>
    <t>Josh Cohen</t>
  </si>
  <si>
    <t>Sysco-Atlanta</t>
  </si>
  <si>
    <t>Coca-Cola, Delta, Home Depot, Chick-fil-A, Mercedes-Benz</t>
  </si>
  <si>
    <t>Logistics, beverage, QSR HQs, hospitality, film/TV</t>
  </si>
  <si>
    <t>~102K</t>
  </si>
  <si>
    <t>-6%</t>
  </si>
  <si>
    <t>+14-18%</t>
  </si>
  <si>
    <t>Kansas City (798 mi) | Mechanicsburg WH (770 mi) — Atlanta WH proposed | Long-haul intermodal rail</t>
  </si>
  <si>
    <t>GFS-Shepherdsville already +122.5% YoY. Biggest cold spot in the network — Atlanta WH (if approved) is single biggest cost-to-serve opportunity in the country.</t>
  </si>
  <si>
    <t>Tampa</t>
  </si>
  <si>
    <t>Jeffrey Santiago</t>
  </si>
  <si>
    <t>Cheney Brothers, Sysco-West Coast FL</t>
  </si>
  <si>
    <t>Bloomin' Brands, Kforce &amp; ConnectWise, KnowBe4, Sykes Enterprises, Amscot Financial, Raymond James Financial, Refresco</t>
  </si>
  <si>
    <t>Tourism, hospitality, healthcare, financial services, retirement economy</t>
  </si>
  <si>
    <t>~54K</t>
  </si>
  <si>
    <t>-8%</t>
  </si>
  <si>
    <t>+19-23%</t>
  </si>
  <si>
    <t>Buffalo (1,001 mi) | Orlando WH (84 mi) — Atlanta WH (if approved) cuts SE haul | Long-haul rail → Orlando WH</t>
  </si>
  <si>
    <t>+13.9% GMI YoY (fastest True 5). Most expensive metro to serve at 2.2x truck baseline. Toll-mill or Atlanta WH would compress cost-to-serve.</t>
  </si>
  <si>
    <t>Phoenix</t>
  </si>
  <si>
    <t>West</t>
  </si>
  <si>
    <t>Shotsie Wilson</t>
  </si>
  <si>
    <t>Shamrock Foods, Sysco-Arizona</t>
  </si>
  <si>
    <t>PetSmart, Banner Health, GoDaddy, Avnet, Insight Enterprises, U-Haul</t>
  </si>
  <si>
    <t>Semiconductors, healthcare, hospitality, construction, retirement</t>
  </si>
  <si>
    <t>~71K</t>
  </si>
  <si>
    <t>+3%</t>
  </si>
  <si>
    <t>+22-26%</t>
  </si>
  <si>
    <t>Vernon, CA (370 mi) | Stockton WH (708 mi) | Direct truck — best transport story in network</t>
  </si>
  <si>
    <t>Best-served True 5. West region GMI losing 1.1pp share, so this is the defensive anchor. Shamrock + Wilson playbook is replicable.</t>
  </si>
  <si>
    <t>Austin</t>
  </si>
  <si>
    <t>Watch List</t>
  </si>
  <si>
    <t>Develop / Monitor</t>
  </si>
  <si>
    <t>Hardie's, Sysco-Austin</t>
  </si>
  <si>
    <t>Tesla, Oracle, Samsung, Apple</t>
  </si>
  <si>
    <t>Tech, semiconductors, government, education, hospitality</t>
  </si>
  <si>
    <t>5.93M lb GMI Â· Index 75 Â· 23.5% share</t>
  </si>
  <si>
    <t>+16.3% GMI</t>
  </si>
  <si>
    <t>+22-27%</t>
  </si>
  <si>
    <t>Kansas City (795 mi) | Arlington WH (195 mi) | Truck from Arlington WH</t>
  </si>
  <si>
    <t>Under-penetrated at Index 75 and growing +16.3% GMI, the fastest in the set. Highest growth exposure on the board. Develop aggressively off Arlington WH.</t>
  </si>
  <si>
    <t>Richmond</t>
  </si>
  <si>
    <t>Steady</t>
  </si>
  <si>
    <t>Defend / Maintain</t>
  </si>
  <si>
    <t>Lynn Allen</t>
  </si>
  <si>
    <t>US Foods-Richmond, Performance Foodservice</t>
  </si>
  <si>
    <t>Dominon Energy, CarMax, Altria Group, Markel Group</t>
  </si>
  <si>
    <t>Finance, government, logistics, healthcare, manufacturing</t>
  </si>
  <si>
    <t>2.96M lb GMI Â· Index 77 Â· 24.3% share</t>
  </si>
  <si>
    <t>+5.5% GMI</t>
  </si>
  <si>
    <t>+6-8%</t>
  </si>
  <si>
    <t>Buffalo (far) | Mechanicsburg WH (250 mi) | Direct truck</t>
  </si>
  <si>
    <t>Index 77 with +5.5% growth makes this a develop market. Lynn owns VA, MD, DC, DE, Eastern NC.</t>
  </si>
  <si>
    <t>Oklahoma City</t>
  </si>
  <si>
    <t>Tim Ryan</t>
  </si>
  <si>
    <t>Sysco-Oklahoma, Ben E. Keith</t>
  </si>
  <si>
    <t>Hobby Lobby, Love's Travel Stops, Sonic</t>
  </si>
  <si>
    <t>Energy, aerospace, government, healthcare, agriculture</t>
  </si>
  <si>
    <t>2.66M lb GMI Â· Index 65 Â· 20.6% share</t>
  </si>
  <si>
    <t>+8.2% GMI</t>
  </si>
  <si>
    <t>+8-11%</t>
  </si>
  <si>
    <t>Kansas City (350 mi) | Arlington WH (200 mi) | Truck from Arlington WH</t>
  </si>
  <si>
    <t>Index 65 with +8.2% growth makes this a develop market. Tim Ryan covers KS, MO, AR, LA, MS.</t>
  </si>
  <si>
    <t>San Jose</t>
  </si>
  <si>
    <t>Defend</t>
  </si>
  <si>
    <t>Yoel Sharabi</t>
  </si>
  <si>
    <t>US Foods-Bay Area, Sysco-San Jose</t>
  </si>
  <si>
    <t>Apple, Nvidia, Cisco</t>
  </si>
  <si>
    <t>Tech, semiconductors, healthcare, hospitality</t>
  </si>
  <si>
    <t>Territory data (West, not in Circana panel)</t>
  </si>
  <si>
    <t>See territory</t>
  </si>
  <si>
    <t>0 to +2%</t>
  </si>
  <si>
    <t>Vernon, CA (350 mi) | Stockton WH (70 mi) | Direct truck from Stockton WH</t>
  </si>
  <si>
    <t>Affluent Silicon Valley demand served off Stockton WH. Mature, defend share. Yoel owns Northern CA.</t>
  </si>
  <si>
    <t>St. Louis</t>
  </si>
  <si>
    <t>Central</t>
  </si>
  <si>
    <t>US Foods-St. Louis, Sysco-St. Louis</t>
  </si>
  <si>
    <t>Enterprise, Edward Jones, Anheuser-Busch InBev</t>
  </si>
  <si>
    <t>Healthcare, finance, agribusiness, logistics, beverage</t>
  </si>
  <si>
    <t>3.34M lb GMI Â· Index 122 Â· 37.0% share</t>
  </si>
  <si>
    <t>+21.1% GMI</t>
  </si>
  <si>
    <t>+1-3%</t>
  </si>
  <si>
    <t>Kansas City (250 mi) | Independence WH (250 mi) | Truck from KC mill</t>
  </si>
  <si>
    <t>High 37% share with GMI up 21.1%, served cheaply off the KC mill. Defend and ride the momentum. Tim Ryan owns MO.</t>
  </si>
  <si>
    <t>Denver</t>
  </si>
  <si>
    <t>Shamrock Foods, US Foods-Denver</t>
  </si>
  <si>
    <t>Frontier, RE/MAX, Western Union, DaVita</t>
  </si>
  <si>
    <t>Aerospace, energy (oil &amp; gas), tech, outdoor recreation, hospitality</t>
  </si>
  <si>
    <t>~32K</t>
  </si>
  <si>
    <t>-1%</t>
  </si>
  <si>
    <t>+10-13%</t>
  </si>
  <si>
    <t>Kansas City (605 mi) | Stockton WH (1,100 mi) | Intermodal rail</t>
  </si>
  <si>
    <t>Mountain West gateway. Shotsie owns AE relationship across CO, MT, WY, ID.</t>
  </si>
  <si>
    <t>Washington DC</t>
  </si>
  <si>
    <t>US Foods-Manassas, Sysco-Baltimore-Washington</t>
  </si>
  <si>
    <t>Danaher, Fannie Mae, Carlyle Group, Xylem, Amtrak</t>
  </si>
  <si>
    <t>Government, defense, consulting, healthcare, education</t>
  </si>
  <si>
    <t>12.5M lb GMI Â· Index 102 Â· 31.1% share</t>
  </si>
  <si>
    <t>+5.7% GMI</t>
  </si>
  <si>
    <t>+6-9%</t>
  </si>
  <si>
    <t>Buffalo (370 mi) | Mechanicsburg WH (120 mi) | Direct truck</t>
  </si>
  <si>
    <t>At parity with healthy +5.7% GMI growth. Defend share and develop. Lynn owns VA, MD, DC, DE, Eastern NC.</t>
  </si>
  <si>
    <t>Memphis</t>
  </si>
  <si>
    <t>US Foods-Memphis, Sysco-Memphis</t>
  </si>
  <si>
    <t>FedEx, AutoZone, St. Jude Children's Research Hospital</t>
  </si>
  <si>
    <t>Logistics, agribusiness, healthcare, manufacturing</t>
  </si>
  <si>
    <t>1.70M lb GMI Â· Index 76 Â· 23.4% share</t>
  </si>
  <si>
    <t>+4.8% GMI</t>
  </si>
  <si>
    <t>+3-5%</t>
  </si>
  <si>
    <t>Kansas City (490 mi) | Arlington WH (470 mi) | Truck / intermodal</t>
  </si>
  <si>
    <t>Index 76 with +4.8% growth. Logistics hub with develop upside. Tim Ryan covers AR, MS, the Mid-South.</t>
  </si>
  <si>
    <t>San Francisco-Oakland</t>
  </si>
  <si>
    <t>US Foods-Bay Area, Sysco-SF, Chefs Warehouse-West</t>
  </si>
  <si>
    <t>Salesforce, Wells Fargo</t>
  </si>
  <si>
    <t>Tech, finance, tourism, hospitality, biotech</t>
  </si>
  <si>
    <t>Vernon, CA (380 mi) | Stockton WH (75 mi) | Direct truck from Stockton WH</t>
  </si>
  <si>
    <t>Premium artisan and restaurant demand served off Stockton WH. Mature and expensive, defend the base. Yoel owns Northern CA.</t>
  </si>
  <si>
    <t>Jacksonville</t>
  </si>
  <si>
    <t>Cheney Brothers, Sysco-Jacksonville</t>
  </si>
  <si>
    <t>GuideWell Mutual Holding Corp, Fidelity, Southeastern Grocers</t>
  </si>
  <si>
    <t>Logistics, finance, military, healthcare, port</t>
  </si>
  <si>
    <t>3.85M lb GMI Â· Index 131 Â· 38.6% share</t>
  </si>
  <si>
    <t>+18.1% GMI</t>
  </si>
  <si>
    <t>+12-15%</t>
  </si>
  <si>
    <t>Buffalo (far) | Orlando WH (140 mi) | Truck from Orlando WH</t>
  </si>
  <si>
    <t>High 38.6% share and GMI up 18.1%, the strongest growth-on-strength in the set. Orlando WH keeps it cheap. Jeffrey owns FL ex-Panhandle.</t>
  </si>
  <si>
    <t>Columbus, OH</t>
  </si>
  <si>
    <t>Dean Psyhogios</t>
  </si>
  <si>
    <t>Gordon Food Service, US Foods-Columbus</t>
  </si>
  <si>
    <t>Cardinal Health, Huntington Bancshares, Bath &amp; Body works, Bread Financial, Vertiv, Abercrombie &amp; Fitch</t>
  </si>
  <si>
    <t>Tech, insurance, logistics, education, healthcare</t>
  </si>
  <si>
    <t>2.25M lb GMI Â· Index 144 Â· 25.1% share</t>
  </si>
  <si>
    <t>+14.1% GMI</t>
  </si>
  <si>
    <t>Buffalo (320 mi) | Mechanicsburg WH (400 mi) | Truck / intermodal</t>
  </si>
  <si>
    <t>Index 144 and GMI up 14.1% with strong tech-driven population inflow. Defend and develop. Dean owns OH.</t>
  </si>
  <si>
    <t>New York</t>
  </si>
  <si>
    <t>Northeast</t>
  </si>
  <si>
    <t>Conrad Chan &amp; Chuck Bootier</t>
  </si>
  <si>
    <t>Driscoll Foods, US Foods-Metro NY</t>
  </si>
  <si>
    <t>JPMorgan Chase &amp; Co, Goldman Sachs Group, Morgan Stanley, AMEX, BlackRock, Pfizer, Verizon</t>
  </si>
  <si>
    <t>Finance, media, hospitality, healthcare, education</t>
  </si>
  <si>
    <t>78.8M lb GMI Â· Index 183 Â· 57.5% share</t>
  </si>
  <si>
    <t>+8.6% GMI</t>
  </si>
  <si>
    <t>Buffalo (370 mi) | Mechanicsburg WH (180 mi) | Direct truck</t>
  </si>
  <si>
    <t>Highest GMI share in the country at 57.5%. Mature and saturated â defend the base, do not over-invest. Conrad &amp; Chuck own NYC, Long Island, NJ.</t>
  </si>
  <si>
    <t>Philadelphia</t>
  </si>
  <si>
    <t>US Foods-Philadelphia, Performance Foodservice</t>
  </si>
  <si>
    <t>Comcast, Cencora, Aramark, Toll Brothers</t>
  </si>
  <si>
    <t>Healthcare, pharma, education, finance, logistics</t>
  </si>
  <si>
    <t>17.5M lb GMI Â· Index 104 Â· 32.0% share</t>
  </si>
  <si>
    <t>+0.3% GMI</t>
  </si>
  <si>
    <t>+2-4%</t>
  </si>
  <si>
    <t>Buffalo (370 mi) | Mechanicsburg WH (95 mi) | Direct truck</t>
  </si>
  <si>
    <t>At national parity and stable. Mechanicsburg WH at 95 mi gives strong cost-to-serve. Hold share. Chuck owns Eastern PA, NJ, Eastern NY.</t>
  </si>
  <si>
    <t>Riverside</t>
  </si>
  <si>
    <t>Nancy Muller</t>
  </si>
  <si>
    <t>Sysco-Riverside, US Foods-Corona, BakeMark</t>
  </si>
  <si>
    <t xml:space="preserve">Bourns, Inc, K&amp;N Engineering, Best Best &amp; Krieger </t>
  </si>
  <si>
    <t>Logistics, warehousing, manufacturing, healthcare, retail</t>
  </si>
  <si>
    <t>Vernon, CA (60 mi) | Stockton WH (400 mi) | Direct truck from Vernon</t>
  </si>
  <si>
    <t>One of the fastest-growing population centers in California and a national logistics hub, close to the Vernon mill. Strong develop play with Hispanic ISB upside. Nancy owns Southern CA.</t>
  </si>
  <si>
    <t>Sacramento</t>
  </si>
  <si>
    <t>US Foods-Sacramento, Sysco-Sacramento</t>
  </si>
  <si>
    <t>Sutter Health, UC Davis Health, VSP Vision</t>
  </si>
  <si>
    <t>Government, healthcare, education, agriculture, tech</t>
  </si>
  <si>
    <t>Vernon, CA (385 mi) | Stockton WH (50 mi) | Direct truck from Stockton WH</t>
  </si>
  <si>
    <t>Growing capital market near the Stockton WH, so cost-to-serve is strong. Hold and develop. Yoel owns Northern CA.</t>
  </si>
  <si>
    <t>San Antonio</t>
  </si>
  <si>
    <t>Labatt-San Antonio, Sysco-San Antonio</t>
  </si>
  <si>
    <t>H-E-B, USAA, Valero</t>
  </si>
  <si>
    <t>Military, healthcare, tourism, energy, manufacturing</t>
  </si>
  <si>
    <t>4.61M lb GMI Â· Index 56 Â· 17.7% share</t>
  </si>
  <si>
    <t>+3.1% GMI</t>
  </si>
  <si>
    <t>Kansas City (795 mi) | Arlington WH (270 mi) | Truck from Arlington WH</t>
  </si>
  <si>
    <t>Index 56 is the deepest under-penetration of the Texas metros, with +3.1% growth and a heavy Hispanic base. Prime independent Hispanic ISB target. Gus owns South Texas.</t>
  </si>
  <si>
    <t>Indianapolis</t>
  </si>
  <si>
    <t>Gordon Food Service, US Foods-Indianapolis</t>
  </si>
  <si>
    <t>Eli Lilly and Company, Corteva, Elevance Health</t>
  </si>
  <si>
    <t>Logistics, manufacturing, life sciences, healthcare</t>
  </si>
  <si>
    <t>1.76M lb GMI Â· Index 120 Â· 27.7% share</t>
  </si>
  <si>
    <t>+13.9% GMI</t>
  </si>
  <si>
    <t>+5-7%</t>
  </si>
  <si>
    <t>Avon, IA (470 mi) | Mechanicsburg WH (560 mi) | Truck / intermodal</t>
  </si>
  <si>
    <t>Above parity at Index 120 with +13.9% growth. Defend and develop. Dean owns IN.</t>
  </si>
  <si>
    <t>Pittsburgh</t>
  </si>
  <si>
    <t>Kevin Karbo</t>
  </si>
  <si>
    <t>US Foods-Pittsburgh, Sysco-Pittsburgh</t>
  </si>
  <si>
    <t>PNC, Kraft-Heinz, PPG</t>
  </si>
  <si>
    <t>Healthcare, tech, education, finance, manufacturing</t>
  </si>
  <si>
    <t>3.19M lb GMI Â· Index 155 Â· 41.3% share</t>
  </si>
  <si>
    <t>+14.7% GMI</t>
  </si>
  <si>
    <t>Buffalo (220 mi) | Mechanicsburg WH (200 mi) | Direct truck</t>
  </si>
  <si>
    <t>High 41.3% share and GMI up 14.7% in a flat-population market, so the gains are share-driven. Defend aggressively. Kevin owns WV, Western PA, Western NY.</t>
  </si>
  <si>
    <t>Cincinnati</t>
  </si>
  <si>
    <t>Gordon Food Service, US Foods-Cincinnati</t>
  </si>
  <si>
    <t>P&amp;G, Kroger, Fifth Third</t>
  </si>
  <si>
    <t>Consumer goods, healthcare, finance, logistics, manufacturing</t>
  </si>
  <si>
    <t>1.38M lb GMI Â· Index 86 Â· 19.8% share</t>
  </si>
  <si>
    <t>+7.9% GMI</t>
  </si>
  <si>
    <t>Avon, IA (590 mi) | Mechanicsburg WH (470 mi) | Truck / intermodal</t>
  </si>
  <si>
    <t>Slightly under parity at Index 86 with +7.9% growth. Hold and develop. Dean owns OH-KY-IN.</t>
  </si>
  <si>
    <t>Los Angeles</t>
  </si>
  <si>
    <t>BakeMark-LA, Greco SoCal, PFS-SoCal</t>
  </si>
  <si>
    <t>The Walt Disney Co, SpaceX, Warner Bros Entertainment</t>
  </si>
  <si>
    <t>Entertainment, aerospace, logistics, hospitality, manufacturing</t>
  </si>
  <si>
    <t>-1 to +1%</t>
  </si>
  <si>
    <t>Vernon, CA (in-market, ~5 mi) | Stockton WH (350 mi) | Direct truck â best cost-to-serve in network</t>
  </si>
  <si>
    <t>Vernon mill sits inside the market, so cost-to-serve is the best anywhere. Mature dense market, but independent Hispanic bakeries are real whitespace. Replicate the El Super and Northgate model at the street level. Nancy owns Southern CA and HI.</t>
  </si>
  <si>
    <t>Baltimore</t>
  </si>
  <si>
    <t>US Foods-Baltimore, Sysco-Baltimore</t>
  </si>
  <si>
    <t>Under Armour, Johns Hopkins, T. Rowe Price Group</t>
  </si>
  <si>
    <t>Healthcare, biotech, defense, logistics, education</t>
  </si>
  <si>
    <t>4.84M lb GMI Â· Index 90 Â· 27.6% share</t>
  </si>
  <si>
    <t>-0.5% GMI</t>
  </si>
  <si>
    <t>Buffalo (380 mi) | Mechanicsburg WH (95 mi) | Direct truck</t>
  </si>
  <si>
    <t>Slightly below parity and flat, but Mechanicsburg WH at 95 mi makes it cheap to serve. Steady-hold. Lynn owns MD, VA, DC, DE.</t>
  </si>
  <si>
    <t>Orlando</t>
  </si>
  <si>
    <t>Cheney Brothers, Sysco-Central Florida</t>
  </si>
  <si>
    <t>Darden Restaurants, Travel + Leisure Co, AAA, Marriot</t>
  </si>
  <si>
    <t>Tourism, hospitality, healthcare, tech, defense sim</t>
  </si>
  <si>
    <t>10.3M lb GMI Â· Index 120 Â· 33.7% share</t>
  </si>
  <si>
    <t>+6.3% GMI</t>
  </si>
  <si>
    <t>Buffalo (far) | Orlando WH (~12 mi, beside facility) | Direct truck â best SE cost-to-serve</t>
  </si>
  <si>
    <t>Index 120, +6.3% GMI, and Orlando WH essentially co-located gives the best cost-to-serve in the Southeast. Pin nudged off the warehouse marker. Jeffrey owns FL ex-Panhandle.</t>
  </si>
  <si>
    <t>San Diego</t>
  </si>
  <si>
    <t>BakeMark-San Diego, US Foods-San Diego, Sysco</t>
  </si>
  <si>
    <t>Qualcomm, LPL Financial, Qualcomm</t>
  </si>
  <si>
    <t>Defense, biotech, tourism, hospitality, cross-border trade</t>
  </si>
  <si>
    <t>Vernon, CA (130 mi) | Stockton WH (480 mi) | Direct truck from Vernon</t>
  </si>
  <si>
    <t>Second-largest SoCal market with a heavy Hispanic base, served off the Vernon mill. Independent Hispanic bakery whitespace mirrors the LA model. Nancy owns Southern CA.</t>
  </si>
  <si>
    <t>Chicago</t>
  </si>
  <si>
    <t>Gordon Food Service, US Foods-Chicago</t>
  </si>
  <si>
    <t>United Airlines, ADM, Conagra, MondelÄz</t>
  </si>
  <si>
    <t>Finance, manufacturing, logistics, food, healthcare</t>
  </si>
  <si>
    <t>5.07M lb GMI Â· Index 62 Â· 17.2% share</t>
  </si>
  <si>
    <t>-2.0% GMI</t>
  </si>
  <si>
    <t>Avon, IA (330 mi) | Independence WH (510 mi) | Truck / intermodal</t>
  </si>
  <si>
    <t>Index 62 means real under-penetration, but the market is declining and mature. Acknowledge our strong rep while focusing investment on growth-exposure metros. Dean owns IL-IN-OH-KY-MI.</t>
  </si>
  <si>
    <t>Minneapolis</t>
  </si>
  <si>
    <t>Open (Not Covered)</t>
  </si>
  <si>
    <t>Sysco-Minnesota, Reinhart</t>
  </si>
  <si>
    <t>Target, Best Buy, US Bancorp, 3M, UnitedHealth, General Mills</t>
  </si>
  <si>
    <t>Retail HQs, healthcare, food (us!), agriculture, financial services</t>
  </si>
  <si>
    <t>~28K</t>
  </si>
  <si>
    <t>-5%</t>
  </si>
  <si>
    <t>+4-7%</t>
  </si>
  <si>
    <t>Avon, IA (231 mi) | Independence WH (440 mi) | Direct truck</t>
  </si>
  <si>
    <t>WHQ home market. Central region growing fastest +5.5% but ND-SD-NE-MN-IA-WI territory is uncovered.</t>
  </si>
  <si>
    <t>Nashville</t>
  </si>
  <si>
    <t>GFS, Sysco-Nashville</t>
  </si>
  <si>
    <t>HCA Healthcare, Nissan, Dollar General, Bridgestone</t>
  </si>
  <si>
    <t>Healthcare, music/entertainment, automotive, logistics</t>
  </si>
  <si>
    <t>~31K</t>
  </si>
  <si>
    <t>+4%</t>
  </si>
  <si>
    <t>+17-21%</t>
  </si>
  <si>
    <t>Kansas City (533 mi) | Mechanicsburg WH (730 mi) | Intermodal — fringe truck range</t>
  </si>
  <si>
    <t>GMI Index 152 — well above national parity. Strong territory with growth momentum from prior coverage; Josh Cohen now owns the relationship.</t>
  </si>
  <si>
    <t>Salt Lake City</t>
  </si>
  <si>
    <t>Sysco-Intermountain, US Foods-Salt Lake</t>
  </si>
  <si>
    <t>Goldman Sachs, Adobe, Qualtrics</t>
  </si>
  <si>
    <t>Tech, finance, outdoor recreation, logistics, healthcare</t>
  </si>
  <si>
    <t>Kansas City (920 mi) | Stockton WH (600 mi) | Truck / intermodal</t>
  </si>
  <si>
    <t>One of the fastest-growing economies in the country with strong tech-driven inflow. Develop aggressively despite the longer haul. Shotsie owns UT.</t>
  </si>
  <si>
    <t>Milwaukee</t>
  </si>
  <si>
    <t>Sysco-Wisconsin, Gordon Food Service</t>
  </si>
  <si>
    <t>Northwestern Mutual, Johnson Controls, Rockwell Automation, Harley-Davidson, Milwaukee Tool</t>
  </si>
  <si>
    <t>Manufacturing, finance, healthcare, food and beverage</t>
  </si>
  <si>
    <t>0.65M lb GMI Â· Index 26 Â· 7.8% share</t>
  </si>
  <si>
    <t>-4.2% GMI</t>
  </si>
  <si>
    <t>Avon, IA (370 mi) | Independence WH (470 mi) | Truck / intermodal</t>
  </si>
  <si>
    <t>Index 26 and 7.8% share is deep under-penetration, but the market is soft and the ND-SD-NE-MN-IA-WI territory is uncovered. Whitespace if covered.</t>
  </si>
  <si>
    <t>Seattle</t>
  </si>
  <si>
    <t>US Foods-Seattle, Sysco-Seattle</t>
  </si>
  <si>
    <t>Amazon, Starbucks, Zillow, Expedia</t>
  </si>
  <si>
    <t>Tech, aerospace, coffee/retail HQs, healthcare, maritime</t>
  </si>
  <si>
    <t>~42K</t>
  </si>
  <si>
    <t>-2%</t>
  </si>
  <si>
    <t>Great Falls, MT (~520 mi) | Stockton WH (810 mi) | Long-haul rail</t>
  </si>
  <si>
    <t>Mature market, regulatory headwinds. Great Falls is the natural mill anchor.</t>
  </si>
  <si>
    <t>Boston</t>
  </si>
  <si>
    <t>Tim Cipriano</t>
  </si>
  <si>
    <t>PFG-Springfield, Sysco-Boston</t>
  </si>
  <si>
    <t>GE, Gillette, Liberty Mutual, Vertex</t>
  </si>
  <si>
    <t>Healthcare, education (Harvard/MIT ecosystem), biotech, financial services</t>
  </si>
  <si>
    <t>~48K</t>
  </si>
  <si>
    <t>-3%</t>
  </si>
  <si>
    <t>+3-6%</t>
  </si>
  <si>
    <t>Buffalo (455 mi) | Mechanicsburg WH (340 mi) | Truck</t>
  </si>
  <si>
    <t>Mature, slow-growth, expensive. NE region has 56% GMI share already (saturated).</t>
  </si>
  <si>
    <t>Las Vegas</t>
  </si>
  <si>
    <t>Westco-Las Vegas, US Foods-Las Vegas, Sysco</t>
  </si>
  <si>
    <t>Caesars, MGM, Las Vegas Sands</t>
  </si>
  <si>
    <t>Tourism, hospitality, gaming, logistics, construction</t>
  </si>
  <si>
    <t>Vernon, CA (270 mi) | Stockton WH (560 mi) | Truck from Vernon</t>
  </si>
  <si>
    <t>High-volume tourism and hospitality demand with strong population growth, served off the Vernon mill. Develop play. Shotsie owns NV, UT, AZ, CO, NM.</t>
  </si>
  <si>
    <t>Portland</t>
  </si>
  <si>
    <t>US Foods-Portland, Sysco-Portland, PFS</t>
  </si>
  <si>
    <t>Nike, Intel, Columbia Sportswear</t>
  </si>
  <si>
    <t>Tech, manufacturing, food and beverage, logistics</t>
  </si>
  <si>
    <t>Great Falls, MT (far) | Stockton WH (640 mi) | Truck / intermodal</t>
  </si>
  <si>
    <t>Strong artisan and craft bakery demand. Watch enzyme and specialty milling in the PacNW (Cairnspring, Cascade) on freight and protein. Yoel owns OR.</t>
  </si>
  <si>
    <t>Miami</t>
  </si>
  <si>
    <t>Cheney Brothers, Sysco-South Florida</t>
  </si>
  <si>
    <t>Palantir, World Kinect Corp, Lennar Corp, Ryder System, Royal Caribbean Group</t>
  </si>
  <si>
    <t>Tourism, trade, finance, healthcare, hospitality</t>
  </si>
  <si>
    <t>9.89M lb GMI Â· Index 102 Â· 23.0% share</t>
  </si>
  <si>
    <t>-1.1% GMI</t>
  </si>
  <si>
    <t>+5-8%</t>
  </si>
  <si>
    <t>Buffalo (far) | Orlando WH (205 mi) | Truck from Orlando WH</t>
  </si>
  <si>
    <t>At parity but flat. Dense Hispanic population makes independent Hispanic bakeries a real whitespace lane. Jeffrey owns all FL except the Panhandle.</t>
  </si>
  <si>
    <t>Charlotte</t>
  </si>
  <si>
    <t>US Foods-Charlotte, Sysco-Charlotte</t>
  </si>
  <si>
    <t>Truist, LendingTree, Honeywell, Lowe's, Bank of America, Duke Energy</t>
  </si>
  <si>
    <t>Banking, energy, tech, motorsports, healthcare</t>
  </si>
  <si>
    <t>~38K</t>
  </si>
  <si>
    <t>+1%</t>
  </si>
  <si>
    <t>+16-20%</t>
  </si>
  <si>
    <t>Kansas City (897 mi) | Mechanicsburg WH (490 mi) — Atlanta WH (if approved) drops to ~250 mi | Intermodal rail</t>
  </si>
  <si>
    <t>Strong HQ inflow story. Atlanta WH (if approved) shifts Charlotte from intermodal to direct truck.</t>
  </si>
  <si>
    <t>New Orleans</t>
  </si>
  <si>
    <t>Sysco-New Orleans, Performance Foodservice</t>
  </si>
  <si>
    <t>Entergy, Ochsner Health, Pan-American Life Insurance</t>
  </si>
  <si>
    <t>Tourism, hospitality, port, energy, healthcare</t>
  </si>
  <si>
    <t>2.73M lb GMI Â· Index 66 Â· 21.2% share</t>
  </si>
  <si>
    <t>-6.9% GMI</t>
  </si>
  <si>
    <t>0-2%</t>
  </si>
  <si>
    <t>Kansas City (820 mi) | Arlington WH (425 mi) | Truck from Arlington WH</t>
  </si>
  <si>
    <t>Headroom at Index 66 but GMI is down 6.9%. Stabilize the base before pushing growth. Tim Ryan owns LA.</t>
  </si>
  <si>
    <t>Birmingham</t>
  </si>
  <si>
    <t>US Foods-Birmingham, Sysco-Alabama</t>
  </si>
  <si>
    <t>Healthcare (UAB), Regions Financial Corporation</t>
  </si>
  <si>
    <t>Healthcare, finance, manufacturing, logistics</t>
  </si>
  <si>
    <t>1.73M lb GMI Â· Index 93 Â· 27.6% share</t>
  </si>
  <si>
    <t>-0.9% GMI</t>
  </si>
  <si>
    <t>Kansas City (660 mi) | Orlando WH (470 mi) | Truck / intermodal</t>
  </si>
  <si>
    <t>Near parity and roughly flat. Hold and develop. Josh covers AL, GA, SC, Western NC, TN.</t>
  </si>
  <si>
    <t>Buffalo</t>
  </si>
  <si>
    <t>Sysco-Albany, Upstate distributors</t>
  </si>
  <si>
    <t>M&amp;T Bank, New Era, Moog</t>
  </si>
  <si>
    <t>Healthcare, education, manufacturing, finance</t>
  </si>
  <si>
    <t>~14K</t>
  </si>
  <si>
    <t>-7%</t>
  </si>
  <si>
    <t>-2 to 0%</t>
  </si>
  <si>
    <t>Buffalo (co-located) | Buffalo WH (co-located) | Local truck</t>
  </si>
  <si>
    <t>Mill home. Kevin owns WV-Western PA-Western NY.</t>
  </si>
  <si>
    <t>Norfolk</t>
  </si>
  <si>
    <t>US Foods-Norfolk, Sysco-Hampton Roads</t>
  </si>
  <si>
    <t>U.S. Navy, Huntington Ingalls</t>
  </si>
  <si>
    <t>Military, port, logistics, healthcare, tourism</t>
  </si>
  <si>
    <t>2.66M lb GMI Â· Index 86 Â· 27.1% share</t>
  </si>
  <si>
    <t>+2.3% GMI</t>
  </si>
  <si>
    <t>Buffalo (far) | Mechanicsburg WH (290 mi) | Direct truck</t>
  </si>
  <si>
    <t>Slightly under parity and steady. Hold and develop. Lynn owns VA.</t>
  </si>
  <si>
    <t>Kansas City</t>
  </si>
  <si>
    <t>Cold / Low Priority</t>
  </si>
  <si>
    <t>Monitor</t>
  </si>
  <si>
    <t>US Foods-Kansas City, Sysco-Kansas City</t>
  </si>
  <si>
    <t>Hallmark, H&amp;R Block, Burns &amp; McDonnell, Lockton Companies</t>
  </si>
  <si>
    <t>Logistics, agribusiness, finance, healthcare, tech</t>
  </si>
  <si>
    <t>3.19M lb GMI Â· Index 82 Â· 26.1% share</t>
  </si>
  <si>
    <t>-22.3% GMI</t>
  </si>
  <si>
    <t>Kansas City (in-market, beside mill) | Independence WH (in-market) | Direct truck â mill in-market</t>
  </si>
  <si>
    <t>Pin nudged off the KC mill and Independence WH markers. Cost-to-serve is excellent, but GMI fell 22.3% â investigate, this should not be losing share on home turf. Tim Ryan owns MO, KS.</t>
  </si>
  <si>
    <t>Hartford</t>
  </si>
  <si>
    <t>Sysco-Connecticut, PFG-Springfield</t>
  </si>
  <si>
    <t>The Hartford Financial Services Group, Aetna, Hartford Healthcare</t>
  </si>
  <si>
    <t>Insurance, healthcare, education, manufacturing</t>
  </si>
  <si>
    <t>10.5M lb GMI Â· Index 146 Â· 43.7% share</t>
  </si>
  <si>
    <t>-6.5% GMI</t>
  </si>
  <si>
    <t>Buffalo (340 mi) | Mechanicsburg WH (250 mi) | Direct truck</t>
  </si>
  <si>
    <t>High 43.7% share but GMI down 6.5%. Defend the base in a mature, slow market. Tim owns CT, RI, MA, VT, NH, ME.</t>
  </si>
  <si>
    <t>Raleigh</t>
  </si>
  <si>
    <t>US Foods-Raleigh, Performance Foodservice</t>
  </si>
  <si>
    <t>First Citizens Bank, Peter Millar, Red Hat</t>
  </si>
  <si>
    <t>Tech, biotech, education, healthcare, research</t>
  </si>
  <si>
    <t>5.13M lb GMI Â· Index 96 Â· 29.9% share</t>
  </si>
  <si>
    <t>-3.2% GMI</t>
  </si>
  <si>
    <t>Buffalo (far) | Mechanicsburg WH (330 mi) | Intermodal / truck</t>
  </si>
  <si>
    <t>Near parity but soft this year against strong long-run population growth. Growth exposure play; Atlanta WH (if approved) would shorten the haul. Lynn owns Eastern NC.</t>
  </si>
  <si>
    <t>Providence</t>
  </si>
  <si>
    <t>Sysco-Boston, Performance Foodservice</t>
  </si>
  <si>
    <t>Textron Inc, Citizens Financial Group, UNFI</t>
  </si>
  <si>
    <t>Healthcare, education, manufacturing, tourism</t>
  </si>
  <si>
    <t>4.66M lb GMI Â· Index 145 Â· 39.2% share</t>
  </si>
  <si>
    <t>Buffalo (430 mi) | Mechanicsburg WH (300 mi) | Direct truck</t>
  </si>
  <si>
    <t>YoY number is misleading. Some 'losses' were due to the distributors being out of NY and sales getting placed onto other AE's/metros. Defend the base in a mature market. Tim Cipriano owns CT, RI, MA, VT, NH, ME.</t>
  </si>
  <si>
    <t>Detroit</t>
  </si>
  <si>
    <t>Gordon Food Service, Sysco-Detroit</t>
  </si>
  <si>
    <t>GM, Ford, Rocket, Penske</t>
  </si>
  <si>
    <t>Auto, manufacturing (declining), healthcare</t>
  </si>
  <si>
    <t>~45K</t>
  </si>
  <si>
    <t>-9%</t>
  </si>
  <si>
    <t>-2 to +1%</t>
  </si>
  <si>
    <t>Buffalo (290 mi) | Mechanicsburg WH (440 mi) | Direct truck</t>
  </si>
  <si>
    <t>Aging demographics, shrinking workforce. Dean owns KY-OH-IN-IL-MI under James.</t>
  </si>
  <si>
    <t>Louisville</t>
  </si>
  <si>
    <t>GFS-Shepherdsville, Sysco-Louisville</t>
  </si>
  <si>
    <t>GE, Norton Healthcare, Yum! Brands, Brown-Forman, Humana</t>
  </si>
  <si>
    <t>Logistics, beverage, healthcare, manufacturing</t>
  </si>
  <si>
    <t>2.19M lb GMI Â· Index 147 Â· 35.1% share</t>
  </si>
  <si>
    <t>-5.9% GMI</t>
  </si>
  <si>
    <t>Avon, IA (560 mi) | Mechanicsburg WH (520 mi) | Truck / intermodal</t>
  </si>
  <si>
    <t>High 35.1% share but GMI down 5.9%. Defend the base. Dean owns KY.</t>
  </si>
  <si>
    <t>Cleveland</t>
  </si>
  <si>
    <t>PFG-Cleveland, Sysco-Cleveland</t>
  </si>
  <si>
    <t>Sherwin-Williams, Progressive, KeyCorp</t>
  </si>
  <si>
    <t>Healthcare (Cleveland Clinic), manufacturing, banking, insurance</t>
  </si>
  <si>
    <t>~22K</t>
  </si>
  <si>
    <t>-11%</t>
  </si>
  <si>
    <t>-3 to 0%</t>
  </si>
  <si>
    <t>Buffalo (188 mi) | Mechanicsburg WH (290 mi) | Direct truck</t>
  </si>
  <si>
    <t>Shrinking population. Cleveland Clinic is the only real anchor.</t>
  </si>
  <si>
    <t>View</t>
  </si>
  <si>
    <t>Rank in View</t>
  </si>
  <si>
    <t>Score Used</t>
  </si>
  <si>
    <t>Top 5 - Market Opportunity</t>
  </si>
  <si>
    <t>Bottom 5 - Market Opportunity</t>
  </si>
  <si>
    <t>Top 5 - GMI Performance</t>
  </si>
  <si>
    <t>Bottom 5 - GMI Performance</t>
  </si>
  <si>
    <t>Top 5 - Economic Stability</t>
  </si>
  <si>
    <t>Bottom 5 - Economic Stability</t>
  </si>
  <si>
    <t>Top 5 - HQ Inflow</t>
  </si>
  <si>
    <t>Bottom 5 - HQ Inflow</t>
  </si>
  <si>
    <t>Top 5 - Transport Quality</t>
  </si>
  <si>
    <t>Bottom 5 - Transport Quality</t>
  </si>
  <si>
    <t>Topic</t>
  </si>
  <si>
    <t>Explanation</t>
  </si>
  <si>
    <t>Why these lenses</t>
  </si>
  <si>
    <t>I chose these six lenses because the goal is not just to identify the biggest flour markets, but to rank which cities deserve the most strategic attention. Market Opportunity gets the highest weight because it captures the size of the prize and the gap to parity. GMI Performance shows whether we are already gaining or losing momentum. Economic Stability protects the ranking from overvaluing volatile markets. Future Growth keeps the model pointed toward where demand is moving. HQ Inflow captures business migration and industry mix, which influence foodservice density and flour demand. Transport Quality accounts for cost-to-serve and whether the market can be supported efficiently through the current GMI mill and warehouse network.</t>
  </si>
  <si>
    <t>Market Opportunity · 30%</t>
  </si>
  <si>
    <t>Includes total flour demand, current GMI share/index, gap to parity, underpenetration, distributor strength, foodservice/bakery density, and whether upside is realistically accessible.</t>
  </si>
  <si>
    <t>GMI Performance · 20%</t>
  </si>
  <si>
    <t>Economic Stability · 15%</t>
  </si>
  <si>
    <t>Pure population growth lens: 10-year projection, recent CAGR, migration momentum, and whether the metro is gaining or losing residents.</t>
  </si>
  <si>
    <t>HQ Inflow · 10%</t>
  </si>
  <si>
    <t>Company movement and corporate/industry anchors: companies moving in/out, HQ expansions, industries such as tech, healthcare, logistics, hospitality, QSR, and manufacturing, and expected impact on flour demand.</t>
  </si>
  <si>
    <t>Transport Quality · 10%</t>
  </si>
  <si>
    <t>Cost-to-serve lens: proximity to GMI mills and warehouses, truck vs intermodal reliance, long-haul complexity, and whether a proposed warehouse/toll-mill would improve economics.</t>
  </si>
  <si>
    <t>Score scale</t>
  </si>
  <si>
    <t>Each lens is scored 1 to 5, where 5 is strongest. Weighted Score = Market Opportunity 30% + GMI Performance 20% + Economic Stability 15% + Future Growth 15% + HQ Inflow 10% + Transport Quality 10%.</t>
  </si>
  <si>
    <t>Ranking rule</t>
  </si>
  <si>
    <t>Overall Rank locks the final True 5 first — Houston, Dallas-Fort Worth, Atlanta, Tampa, Phoenix — because that is the final strategic recommendation. Cities 6+ are ranked by the same weighted model underneath the True 5.</t>
  </si>
  <si>
    <t>Source</t>
  </si>
  <si>
    <t>Use in workbook</t>
  </si>
  <si>
    <t>national.html</t>
  </si>
  <si>
    <t>Primary city list, map metadata, AE/zone/distributor, HQ inflow, industries, transport, map insights, True 5 rank and map score.</t>
  </si>
  <si>
    <t>Copy of Feb 2026 Flour by DMA - 5.26.26.xlsx</t>
  </si>
  <si>
    <t>DMA-level total flour market size, GMI lbs, GMI share, YoY growth, calculated GMI index where available. Does not cover West Coast metros.</t>
  </si>
  <si>
    <t>Copy of New Report_511 Circana Data.xlsx</t>
  </si>
  <si>
    <t>Regional Circana validation for South/West/Central/Northeast directional context.</t>
  </si>
  <si>
    <t>Copy of FSI Territory Volume Pull F26 annualized April 2026 for Jake.xlsx</t>
  </si>
  <si>
    <t>F26 annualized internal territory volume context, including 17.7M CWT annualized Flour Distribution figure.</t>
  </si>
  <si>
    <t>Used qualitatively for action/tier explanations: Texas/Sysco realism, Atlanta/Orlando warehouse logic, West clean-label/enzyme/tortilla needs, two-truck minimum, product fit, and distributor dynamics.</t>
  </si>
  <si>
    <t>name</t>
  </si>
  <si>
    <t>lat</t>
  </si>
  <si>
    <t>lng</t>
  </si>
  <si>
    <t>score</t>
  </si>
  <si>
    <t>rank</t>
  </si>
  <si>
    <t>tagline</t>
  </si>
  <si>
    <t>pop</t>
  </si>
  <si>
    <t>cagr</t>
  </si>
  <si>
    <t>censusRegion</t>
  </si>
  <si>
    <t>zone</t>
  </si>
  <si>
    <t>ae</t>
  </si>
  <si>
    <t>distributor</t>
  </si>
  <si>
    <t>hqInflow</t>
  </si>
  <si>
    <t>industries</t>
  </si>
  <si>
    <t>fy26eqc</t>
  </si>
  <si>
    <t>plYoY</t>
  </si>
  <si>
    <t>growth10yr</t>
  </si>
  <si>
    <t>mill</t>
  </si>
  <si>
    <t>warehouse</t>
  </si>
  <si>
    <t>transport</t>
  </si>
  <si>
    <t>insight</t>
  </si>
  <si>
    <t>Biggest accessible flour opportunity in the country</t>
  </si>
  <si>
    <t>7.51M</t>
  </si>
  <si>
    <t>+1.42%</t>
  </si>
  <si>
    <t>Kansas City (462 mi to Arlington WH, +240 mi truck)</t>
  </si>
  <si>
    <t>Arlington WH (240 mi)</t>
  </si>
  <si>
    <t>Intermodal + truck</t>
  </si>
  <si>
    <t>Largest market with biggest current bleed</t>
  </si>
  <si>
    <t>8.10M</t>
  </si>
  <si>
    <t>+1.74%</t>
  </si>
  <si>
    <t>Kansas City (462 mi)</t>
  </si>
  <si>
    <t>Arlington WH (25 mi)</t>
  </si>
  <si>
    <t>Truck → Arlington WH</t>
  </si>
  <si>
    <t>GFS partnership already validating Southeast play</t>
  </si>
  <si>
    <t>6.30M</t>
  </si>
  <si>
    <t>+1.28%</t>
  </si>
  <si>
    <t>Kansas City (798 mi)</t>
  </si>
  <si>
    <t>Mechanicsburg WH (770 mi) — Atlanta WH proposed</t>
  </si>
  <si>
    <t>Long-haul intermodal rail</t>
  </si>
  <si>
    <t>Fastest GMI growth among True 5</t>
  </si>
  <si>
    <t>3.34M</t>
  </si>
  <si>
    <t>+1.51%</t>
  </si>
  <si>
    <t>Buffalo (1,001 mi)</t>
  </si>
  <si>
    <t>Orlando WH (84 mi) — Atlanta WH (if approved) cuts SE haul</t>
  </si>
  <si>
    <t>Long-haul rail → Orlando WH</t>
  </si>
  <si>
    <t>Only True 5 with positive YoY in losing region</t>
  </si>
  <si>
    <t>5.10M</t>
  </si>
  <si>
    <t>+1.82%</t>
  </si>
  <si>
    <t>Vernon, CA (370 mi)</t>
  </si>
  <si>
    <t>Stockton WH (708 mi)</t>
  </si>
  <si>
    <t>Direct truck — best transport story in network</t>
  </si>
  <si>
    <t>Watch-list — could promote to True 5 by 2028</t>
  </si>
  <si>
    <t>2.79M</t>
  </si>
  <si>
    <t>+1.65%</t>
  </si>
  <si>
    <t>Kansas City (897 mi)</t>
  </si>
  <si>
    <t>Mechanicsburg WH (490 mi) — Atlanta WH (if approved) drops to ~250 mi</t>
  </si>
  <si>
    <t>Intermodal rail</t>
  </si>
  <si>
    <t>Strong territory with growth momentum</t>
  </si>
  <si>
    <t>2.04M</t>
  </si>
  <si>
    <t>+1.57%</t>
  </si>
  <si>
    <t>Kansas City (533 mi)</t>
  </si>
  <si>
    <t>Mechanicsburg WH (730 mi)</t>
  </si>
  <si>
    <t>Intermodal — fringe truck range</t>
  </si>
  <si>
    <t>Solid market, slowing growth — maintain</t>
  </si>
  <si>
    <t>3.00M</t>
  </si>
  <si>
    <t>+1.12%</t>
  </si>
  <si>
    <t>Kansas City (605 mi)</t>
  </si>
  <si>
    <t>Stockton WH (1,100 mi)</t>
  </si>
  <si>
    <t>Tech-driven FS demand but slowing</t>
  </si>
  <si>
    <t>4.02M</t>
  </si>
  <si>
    <t>+0.94%</t>
  </si>
  <si>
    <t>Great Falls, MT (~520 mi)</t>
  </si>
  <si>
    <t>Stockton WH (810 mi)</t>
  </si>
  <si>
    <t>Long-haul rail</t>
  </si>
  <si>
    <t>Mature market, high cost</t>
  </si>
  <si>
    <t>4.94M</t>
  </si>
  <si>
    <t>+0.52%</t>
  </si>
  <si>
    <t>Buffalo (455 mi)</t>
  </si>
  <si>
    <t>Mechanicsburg WH (340 mi)</t>
  </si>
  <si>
    <t>Truck</t>
  </si>
  <si>
    <t>Home market, slow growth despite proximity</t>
  </si>
  <si>
    <t>3.69M</t>
  </si>
  <si>
    <t>+0.71%</t>
  </si>
  <si>
    <t>Avon, IA (231 mi)</t>
  </si>
  <si>
    <t>Independence WH (440 mi)</t>
  </si>
  <si>
    <t>Direct truck</t>
  </si>
  <si>
    <t>Declining metro — defend, do not invest</t>
  </si>
  <si>
    <t>4.39M</t>
  </si>
  <si>
    <t>-0.18%</t>
  </si>
  <si>
    <t>Buffalo (290 mi)</t>
  </si>
  <si>
    <t>Mechanicsburg WH (440 mi)</t>
  </si>
  <si>
    <t>Cold spot — aging and declining</t>
  </si>
  <si>
    <t>2.06M</t>
  </si>
  <si>
    <t>-0.31%</t>
  </si>
  <si>
    <t>Buffalo (188 mi)</t>
  </si>
  <si>
    <t>Mechanicsburg WH (290 mi)</t>
  </si>
  <si>
    <t>Mill home market — defend the base</t>
  </si>
  <si>
    <t>1.16M</t>
  </si>
  <si>
    <t>-0.22%</t>
  </si>
  <si>
    <t>Buffalo (co-located)</t>
  </si>
  <si>
    <t>Buffalo WH (co-located)</t>
  </si>
  <si>
    <t>Local truck</t>
  </si>
  <si>
    <t>Buffalo (370 mi)</t>
  </si>
  <si>
    <t>Mechanicsburg WH (180 mi)</t>
  </si>
  <si>
    <t>Vernon, CA (in-market, ~5 mi)</t>
  </si>
  <si>
    <t>Stockton WH (350 mi)</t>
  </si>
  <si>
    <t>Direct truck â best cost-to-serve in network</t>
  </si>
  <si>
    <t>Avon, IA (330 mi)</t>
  </si>
  <si>
    <t>Independence WH (510 mi)</t>
  </si>
  <si>
    <t>Truck / intermodal</t>
  </si>
  <si>
    <t>Mechanicsburg WH (120 mi)</t>
  </si>
  <si>
    <t>Mechanicsburg WH (95 mi)</t>
  </si>
  <si>
    <t>Buffalo (far)</t>
  </si>
  <si>
    <t>Orlando WH (205 mi)</t>
  </si>
  <si>
    <t>Truck from Orlando WH</t>
  </si>
  <si>
    <t>Vernon, CA (380 mi)</t>
  </si>
  <si>
    <t>Stockton WH (75 mi)</t>
  </si>
  <si>
    <t>Direct truck from Stockton WH</t>
  </si>
  <si>
    <t>Vernon, CA (60 mi)</t>
  </si>
  <si>
    <t>Stockton WH (400 mi)</t>
  </si>
  <si>
    <t>Direct truck from Vernon</t>
  </si>
  <si>
    <t>Vernon, CA (130 mi)</t>
  </si>
  <si>
    <t>Stockton WH (480 mi)</t>
  </si>
  <si>
    <t>Buffalo (380 mi)</t>
  </si>
  <si>
    <t>Kansas City (250 mi)</t>
  </si>
  <si>
    <t>Independence WH (250 mi)</t>
  </si>
  <si>
    <t>Truck from KC mill</t>
  </si>
  <si>
    <t>Orlando WH (~12 mi, beside facility)</t>
  </si>
  <si>
    <t>Direct truck â best SE cost-to-serve</t>
  </si>
  <si>
    <t>Kansas City (795 mi)</t>
  </si>
  <si>
    <t>Arlington WH (270 mi)</t>
  </si>
  <si>
    <t>Truck from Arlington WH</t>
  </si>
  <si>
    <t>Great Falls, MT (far)</t>
  </si>
  <si>
    <t>Stockton WH (640 mi)</t>
  </si>
  <si>
    <t>Vernon, CA (385 mi)</t>
  </si>
  <si>
    <t>Stockton WH (50 mi)</t>
  </si>
  <si>
    <t>Buffalo (220 mi)</t>
  </si>
  <si>
    <t>Mechanicsburg WH (200 mi)</t>
  </si>
  <si>
    <t>Arlington WH (195 mi)</t>
  </si>
  <si>
    <t>Vernon, CA (270 mi)</t>
  </si>
  <si>
    <t>Stockton WH (560 mi)</t>
  </si>
  <si>
    <t>Truck from Vernon</t>
  </si>
  <si>
    <t>Avon, IA (590 mi)</t>
  </si>
  <si>
    <t>Mechanicsburg WH (470 mi)</t>
  </si>
  <si>
    <t>Kansas City (in-market, beside mill)</t>
  </si>
  <si>
    <t>Independence WH (in-market)</t>
  </si>
  <si>
    <t>Direct truck â mill in-market</t>
  </si>
  <si>
    <t>Buffalo (320 mi)</t>
  </si>
  <si>
    <t>Mechanicsburg WH (400 mi)</t>
  </si>
  <si>
    <t>Avon, IA (470 mi)</t>
  </si>
  <si>
    <t>Mechanicsburg WH (560 mi)</t>
  </si>
  <si>
    <t>Vernon, CA (350 mi)</t>
  </si>
  <si>
    <t>Stockton WH (70 mi)</t>
  </si>
  <si>
    <t>Buffalo (430 mi)</t>
  </si>
  <si>
    <t>Mechanicsburg WH (300 mi)</t>
  </si>
  <si>
    <t>Orlando WH (140 mi)</t>
  </si>
  <si>
    <t>Avon, IA (370 mi)</t>
  </si>
  <si>
    <t>Independence WH (470 mi)</t>
  </si>
  <si>
    <t>Kansas City (350 mi)</t>
  </si>
  <si>
    <t>Arlington WH (200 mi)</t>
  </si>
  <si>
    <t>Mechanicsburg WH (330 mi)</t>
  </si>
  <si>
    <t>Intermodal / truck</t>
  </si>
  <si>
    <t>Kansas City (490 mi)</t>
  </si>
  <si>
    <t>Arlington WH (470 mi)</t>
  </si>
  <si>
    <t>Mechanicsburg WH (250 mi)</t>
  </si>
  <si>
    <t>Kansas City (820 mi)</t>
  </si>
  <si>
    <t>Arlington WH (425 mi)</t>
  </si>
  <si>
    <t>Avon, IA (560 mi)</t>
  </si>
  <si>
    <t>Mechanicsburg WH (520 mi)</t>
  </si>
  <si>
    <t>Kansas City (920 mi)</t>
  </si>
  <si>
    <t>Stockton WH (600 mi)</t>
  </si>
  <si>
    <t>Buffalo (340 mi)</t>
  </si>
  <si>
    <t>Kansas City (660 mi)</t>
  </si>
  <si>
    <t>Orlando WH (470 mi)</t>
  </si>
  <si>
    <t>50 Cities · 6 Weighted Lenses</t>
  </si>
  <si>
    <t>2.66M lb GMI, Index 65, 20.6% share</t>
  </si>
  <si>
    <t>3.34M lb GMI, Index 122, 37.0% share</t>
  </si>
  <si>
    <t>12.5M lb GMI, Index 102, 31.1% share</t>
  </si>
  <si>
    <t>1.70M lb GMI, Index 76, 23.4% share</t>
  </si>
  <si>
    <t>3.85M lb GMI, Index 131, 38.6% share</t>
  </si>
  <si>
    <t>2.25M lb GMI, Index 144, 25.1% share</t>
  </si>
  <si>
    <t>78.8M lb GMI, Index 183, 57.5% share</t>
  </si>
  <si>
    <t>17.5M lb GMI, Index 104, 32.0% share</t>
  </si>
  <si>
    <t>4.61M lb GMI, Index 56, 17.7% share</t>
  </si>
  <si>
    <t>1.76M lb GMI, Index 120, 27.7% share</t>
  </si>
  <si>
    <t>3.19M lb GMI, Index 155, 41.3% share</t>
  </si>
  <si>
    <t>1.38M lb GMI, Index 86, 19.8% share</t>
  </si>
  <si>
    <t>4.84M lb GMI, Index 90, 27.6% share</t>
  </si>
  <si>
    <t>10.3M lb GMI, Index 120, 33.7% share</t>
  </si>
  <si>
    <t>5.07M lb GMI, Index 62, 17.2% share</t>
  </si>
  <si>
    <t>0.65M lb GMI, Index 26, 7.8% share</t>
  </si>
  <si>
    <t>9.89M lb GMI, Index 102, 23.0% share</t>
  </si>
  <si>
    <t>2.73M lb GMI, Index 66, 21.2% share</t>
  </si>
  <si>
    <t>1.73M lb GMI, Index 93, 27.6% share</t>
  </si>
  <si>
    <t>2.66M lb GMI, Index 86, 27.1% share</t>
  </si>
  <si>
    <t>3.19M lb GMI, Index 82, 26.1% share</t>
  </si>
  <si>
    <t>10.5M lb GMI, Index 146, 43.7% share</t>
  </si>
  <si>
    <t>5.13M lb GMI, Index 96, 29.9% share</t>
  </si>
  <si>
    <t>4.66M lb GMI, Index 145, 39.2% share</t>
  </si>
  <si>
    <t>2.19M lb GMI, Index 147, 35.1% share</t>
  </si>
  <si>
    <t>2.96M lb GMI Index 77, 24.3% share</t>
  </si>
  <si>
    <t>5.93M lb GMI Index 75, 23.5% share</t>
  </si>
  <si>
    <t>Population Growth Score</t>
  </si>
  <si>
    <t>Top 5 - Population Growth</t>
  </si>
  <si>
    <t>Bottom 5 - Population Growth</t>
  </si>
  <si>
    <t>Population Growth · 15%</t>
  </si>
  <si>
    <t>Measures durability of the local economy: industry diversity, business climate, job consistency, exposure to cyclical sectors, and stability of foodservice demand.</t>
  </si>
  <si>
    <t>Measures whether GMI is growing or losing ground: YoY growth, volume trend, distributor performance, and whether losses are market-driven or execution-driven.</t>
  </si>
  <si>
    <t>GMI Share %</t>
  </si>
  <si>
    <t>Houston, TX</t>
  </si>
  <si>
    <t>Dallas-Ft. Worth, TX</t>
  </si>
  <si>
    <t>Atlanta, GA/ AL/NC</t>
  </si>
  <si>
    <t>Tampa-St. Petersburg-Sarasota, FL</t>
  </si>
  <si>
    <t>Austin, TX</t>
  </si>
  <si>
    <t>Richmond-Petersburg, VA</t>
  </si>
  <si>
    <t>Oklahoma City, OK</t>
  </si>
  <si>
    <t>St. Louis, MO/IL</t>
  </si>
  <si>
    <t>Washington, DC (Hagerstown) MD/PA/VA/WV</t>
  </si>
  <si>
    <t>Memphis, TN/MS/AR</t>
  </si>
  <si>
    <t>Jacksonville, FL/GA</t>
  </si>
  <si>
    <t>New York, NY/CT/PA</t>
  </si>
  <si>
    <t>Philadelphia, PA/DE/NJ</t>
  </si>
  <si>
    <t>San Antonio, TX</t>
  </si>
  <si>
    <t>Indianapolis, IN</t>
  </si>
  <si>
    <t>Pittsburgh, PA/MD/WV</t>
  </si>
  <si>
    <t>Cincinnati, OH/KY/IN</t>
  </si>
  <si>
    <t>Baltimore, MD</t>
  </si>
  <si>
    <t>Orlando-Daytona Beach-Melbourne, FL</t>
  </si>
  <si>
    <t>Chicago, IL /IN</t>
  </si>
  <si>
    <t>Minneapolis-St. Paul, MN/WI</t>
  </si>
  <si>
    <t>Nashville, TN/KY</t>
  </si>
  <si>
    <t>Milwaukee, WI</t>
  </si>
  <si>
    <t>Boston, MA/ NH/VT</t>
  </si>
  <si>
    <t>Miami-Ft. Lauderdale, FL</t>
  </si>
  <si>
    <t>Charlotte, NC/SC</t>
  </si>
  <si>
    <t>New Orleans, LA/MS</t>
  </si>
  <si>
    <t>Birmingham, AL (Ann &amp; Tusc)</t>
  </si>
  <si>
    <t>Norfolk- Portsmouth- Newport News, VA/NC</t>
  </si>
  <si>
    <t>Kansas City, MO/KS</t>
  </si>
  <si>
    <t>Hartford &amp; New Haven, CT</t>
  </si>
  <si>
    <t>Raleigh-Durham (Fayetville), NC/VA</t>
  </si>
  <si>
    <t>Providence-New Bedford, RI/MA</t>
  </si>
  <si>
    <t>Detroit, MI</t>
  </si>
  <si>
    <t>Louisville, KY/IN</t>
  </si>
  <si>
    <t>Cleveland-Akron, OH</t>
  </si>
  <si>
    <t>Flour Frontier · All Cities Ranking Dashboard</t>
  </si>
  <si>
    <t>AE/Field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</si>
</sst>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1"/>
      <color theme="1"/>
      <name val="Calibri"/>
      <family val="2"/>
      <scheme val="minor"/>
    </font>
    <font>
      <sz val="11"/>
      <color theme="1"/>
      <name val="Calibri"/>
      <family val="2"/>
      <scheme val="minor"/>
    </font>
    <font>
      <b/>
      <sz val="18"/>
      <color theme="0"/>
      <name val="Times New Roman"/>
      <family val="1"/>
    </font>
    <font>
      <sz val="11"/>
      <color theme="1"/>
      <name val="Times New Roman"/>
      <family val="1"/>
    </font>
    <font>
      <b/>
      <sz val="12"/>
      <color theme="0"/>
      <name val="Times New Roman"/>
      <family val="1"/>
    </font>
    <font>
      <b/>
      <sz val="12"/>
      <color rgb="FFFFFFFF"/>
      <name val="Times New Roman"/>
      <family val="1"/>
    </font>
    <font>
      <sz val="12"/>
      <name val="Times New Roman"/>
      <family val="1"/>
    </font>
    <font>
      <sz val="12"/>
      <color theme="1"/>
      <name val="Times New Roman"/>
      <family val="1"/>
    </font>
    <font>
      <b/>
      <sz val="14"/>
      <color theme="0"/>
      <name val="Times New Roman"/>
      <family val="1"/>
    </font>
    <font>
      <b/>
      <sz val="20"/>
      <color theme="0"/>
      <name val="Times New Roman"/>
      <family val="1"/>
    </font>
    <font>
      <b/>
      <sz val="14"/>
      <color rgb="FFFFFFFF"/>
      <name val="Times New Roman"/>
      <family val="1"/>
    </font>
  </fonts>
  <fills count="6">
    <fill>
      <patternFill patternType="none"/>
    </fill>
    <fill>
      <patternFill patternType="gray125"/>
    </fill>
    <fill>
      <patternFill patternType="solid">
        <fgColor rgb="FFC8102E"/>
      </patternFill>
    </fill>
    <fill>
      <patternFill patternType="solid">
        <fgColor theme="4" tint="0.79998168889431442"/>
        <bgColor theme="4" tint="0.79998168889431442"/>
      </patternFill>
    </fill>
    <fill>
      <patternFill patternType="solid">
        <fgColor rgb="FFC8102E"/>
        <bgColor indexed="64"/>
      </patternFill>
    </fill>
    <fill>
      <patternFill patternType="solid">
        <fgColor rgb="FFC8102E"/>
        <bgColor theme="4" tint="0.79998168889431442"/>
      </patternFill>
    </fill>
  </fills>
  <borders count="7">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0" fontId="10"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6"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6" fillId="0" borderId="5" xfId="0" applyFont="1" applyBorder="1" applyAlignment="1">
      <alignment horizontal="center" vertical="center" wrapText="1"/>
    </xf>
    <xf numFmtId="2" fontId="6" fillId="0" borderId="5" xfId="0" applyNumberFormat="1" applyFont="1" applyBorder="1" applyAlignment="1">
      <alignment horizontal="center" vertical="center" wrapText="1"/>
    </xf>
    <xf numFmtId="0" fontId="5" fillId="2" borderId="6"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0" xfId="0" applyFont="1" applyAlignment="1">
      <alignment horizontal="center" vertical="center"/>
    </xf>
    <xf numFmtId="0" fontId="6" fillId="3" borderId="5" xfId="0" applyFont="1" applyFill="1" applyBorder="1" applyAlignment="1">
      <alignment horizontal="center" vertical="center" wrapText="1"/>
    </xf>
    <xf numFmtId="0" fontId="6" fillId="0" borderId="1" xfId="0" applyFont="1" applyBorder="1" applyAlignment="1">
      <alignment horizontal="center" vertical="center"/>
    </xf>
    <xf numFmtId="43" fontId="6" fillId="0" borderId="5" xfId="1" applyFont="1" applyBorder="1" applyAlignment="1">
      <alignment horizontal="center" vertical="center" wrapText="1"/>
    </xf>
    <xf numFmtId="37" fontId="5" fillId="2" borderId="6" xfId="1" applyNumberFormat="1" applyFont="1" applyFill="1" applyBorder="1" applyAlignment="1">
      <alignment horizontal="center" vertical="center" wrapText="1"/>
    </xf>
    <xf numFmtId="37" fontId="6" fillId="0" borderId="5" xfId="1" applyNumberFormat="1" applyFont="1" applyBorder="1" applyAlignment="1">
      <alignment horizontal="center" vertical="center" wrapText="1"/>
    </xf>
    <xf numFmtId="37" fontId="0" fillId="0" borderId="0" xfId="1" applyNumberFormat="1" applyFont="1"/>
    <xf numFmtId="10" fontId="6" fillId="0" borderId="5" xfId="0" applyNumberFormat="1" applyFont="1" applyBorder="1" applyAlignment="1">
      <alignment horizontal="center" vertical="center" wrapText="1"/>
    </xf>
    <xf numFmtId="10" fontId="7" fillId="0" borderId="5" xfId="0" applyNumberFormat="1" applyFont="1" applyBorder="1" applyAlignment="1">
      <alignment horizontal="center" vertical="center" wrapText="1"/>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4"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cellXfs>
  <cellStyles count="2">
    <cellStyle name="Comma" xfId="1" builtinId="3"/>
    <cellStyle name="Normal" xfId="0" builtinId="0"/>
  </cellStyles>
  <dxfs count="81">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rgb="FFFFFFFF"/>
        <name val="Times New Roman"/>
        <family val="1"/>
        <scheme val="none"/>
      </font>
      <alignment horizontal="center" vertical="center" textRotation="0" wrapText="0" indent="0" justifyLastLine="0" shrinkToFit="0" readingOrder="0"/>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5" formatCode="#,##0_);\(#,##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wrapText="1" indent="0" justifyLastLine="0" shrinkToFit="0" readingOrder="0"/>
    </dxf>
    <dxf>
      <font>
        <strike val="0"/>
        <outline val="0"/>
        <shadow val="0"/>
        <u val="none"/>
        <vertAlign val="baseline"/>
        <sz val="12"/>
        <name val="Times New Roman"/>
        <family val="1"/>
        <scheme val="none"/>
      </font>
      <alignment horizontal="center" vertical="center" textRotation="0" wrapText="1" indent="0" justifyLastLine="0" shrinkToFit="0" readingOrder="0"/>
    </dxf>
    <dxf>
      <font>
        <strike val="0"/>
        <outline val="0"/>
        <shadow val="0"/>
        <u val="none"/>
        <vertAlign val="baseline"/>
        <sz val="12"/>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color rgb="FFFFFFFF"/>
        <name val="Times New Roman"/>
        <family val="1"/>
        <scheme val="none"/>
      </font>
      <alignment horizontal="center" vertical="center" textRotation="0" indent="0" justifyLastLine="0" shrinkToFit="0" readingOrder="0"/>
    </dxf>
    <dxf>
      <font>
        <strike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alignment horizontal="center" vertical="center" textRotation="0" indent="0" justifyLastLine="0" shrinkToFit="0" readingOrder="0"/>
    </dxf>
    <dxf>
      <font>
        <strike val="0"/>
        <outline val="0"/>
        <shadow val="0"/>
        <u val="none"/>
        <vertAlign val="baseline"/>
        <sz val="12"/>
        <color auto="1"/>
        <name val="Times New Roman"/>
        <family val="1"/>
        <scheme val="none"/>
      </font>
      <alignment horizontal="center" vertical="center" textRotation="0" wrapText="1" indent="0" justifyLastLine="0" shrinkToFit="0" readingOrder="0"/>
    </dxf>
    <dxf>
      <font>
        <strike val="0"/>
        <outline val="0"/>
        <shadow val="0"/>
        <u val="none"/>
        <vertAlign val="baseline"/>
        <sz val="12"/>
        <name val="Times New Roman"/>
        <family val="1"/>
        <scheme val="none"/>
      </font>
      <alignment horizontal="center" vertical="center" textRotation="0" indent="0" justifyLastLine="0" shrinkToFit="0" readingOrder="0"/>
    </dxf>
  </dxfs>
  <tableStyles count="0" defaultTableStyle="TableStyleMedium9" defaultPivotStyle="PivotStyleLight16"/>
  <colors>
    <mruColors>
      <color rgb="FFC810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nsScores" displayName="LensScores" ref="A1:K51" headerRowDxfId="80" dataDxfId="79" totalsRowDxfId="78">
  <autoFilter ref="A1:K51" xr:uid="{00000000-0009-0000-0100-000002000000}"/>
  <tableColumns count="11">
    <tableColumn id="1" xr3:uid="{00000000-0010-0000-0100-000001000000}" name="Overall Rank" dataDxfId="77"/>
    <tableColumn id="2" xr3:uid="{00000000-0010-0000-0100-000002000000}" name="City / Metro" dataDxfId="76"/>
    <tableColumn id="3" xr3:uid="{00000000-0010-0000-0100-000003000000}" name="Region" dataDxfId="75"/>
    <tableColumn id="4" xr3:uid="{00000000-0010-0000-0100-000004000000}" name="AE / Owner" dataDxfId="74"/>
    <tableColumn id="5" xr3:uid="{00000000-0010-0000-0100-000005000000}" name="Weighted Score" dataDxfId="73"/>
    <tableColumn id="6" xr3:uid="{00000000-0010-0000-0100-000006000000}" name="Market Opportunity Score" dataDxfId="72"/>
    <tableColumn id="7" xr3:uid="{00000000-0010-0000-0100-000007000000}" name="GMI Performance Score" dataDxfId="71"/>
    <tableColumn id="8" xr3:uid="{00000000-0010-0000-0100-000008000000}" name="Economic Stability Score" dataDxfId="70"/>
    <tableColumn id="9" xr3:uid="{00000000-0010-0000-0100-000009000000}" name="Population Growth Score" dataDxfId="69"/>
    <tableColumn id="10" xr3:uid="{00000000-0010-0000-0100-00000A000000}" name="HQ Inflow Score" dataDxfId="68"/>
    <tableColumn id="11" xr3:uid="{00000000-0010-0000-0100-00000B000000}" name="Transport Quality Score" dataDxfId="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opBottomViews" displayName="TopBottomViews" ref="A1:H71" headerRowDxfId="66" dataDxfId="65" totalsRowDxfId="64">
  <autoFilter ref="A1:H71" xr:uid="{00000000-0009-0000-0100-000003000000}"/>
  <tableColumns count="8">
    <tableColumn id="1" xr3:uid="{00000000-0010-0000-0200-000001000000}" name="View" dataDxfId="63"/>
    <tableColumn id="2" xr3:uid="{00000000-0010-0000-0200-000002000000}" name="Rank in View" dataDxfId="62"/>
    <tableColumn id="3" xr3:uid="{00000000-0010-0000-0200-000003000000}" name="City / Metro" dataDxfId="61"/>
    <tableColumn id="4" xr3:uid="{00000000-0010-0000-0200-000004000000}" name="Overall Rank" dataDxfId="60"/>
    <tableColumn id="5" xr3:uid="{00000000-0010-0000-0200-000005000000}" name="Score Used" dataDxfId="59"/>
    <tableColumn id="6" xr3:uid="{00000000-0010-0000-0200-000006000000}" name="Opportunity Tier" dataDxfId="58"/>
    <tableColumn id="7" xr3:uid="{00000000-0010-0000-0200-000007000000}" name="Key Action" dataDxfId="57"/>
    <tableColumn id="8" xr3:uid="{00000000-0010-0000-0200-000008000000}" name="Why It Ranks Here"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CityRanking" displayName="AllCityRanking" ref="A1:AD51" headerRowDxfId="55" dataDxfId="54" totalsRowDxfId="53">
  <autoFilter ref="A1:AD51" xr:uid="{00000000-0009-0000-0100-000001000000}"/>
  <sortState xmlns:xlrd2="http://schemas.microsoft.com/office/spreadsheetml/2017/richdata2" ref="A2:AD51">
    <sortCondition ref="A1:A51"/>
  </sortState>
  <tableColumns count="30">
    <tableColumn id="1" xr3:uid="{00000000-0010-0000-0000-000001000000}" name="Overall Rank" dataDxfId="52"/>
    <tableColumn id="2" xr3:uid="{00000000-0010-0000-0000-000002000000}" name="City / Metro" dataDxfId="51"/>
    <tableColumn id="3" xr3:uid="{00000000-0010-0000-0000-000003000000}" name="Opportunity Tier" dataDxfId="50"/>
    <tableColumn id="4" xr3:uid="{00000000-0010-0000-0000-000004000000}" name="Key Action" dataDxfId="49"/>
    <tableColumn id="5" xr3:uid="{00000000-0010-0000-0000-000005000000}" name="Weighted Score" dataDxfId="48"/>
    <tableColumn id="6" xr3:uid="{00000000-0010-0000-0000-000006000000}" name="Market Opportunity Score" dataDxfId="47"/>
    <tableColumn id="7" xr3:uid="{00000000-0010-0000-0000-000007000000}" name="GMI Performance Score" dataDxfId="46"/>
    <tableColumn id="8" xr3:uid="{00000000-0010-0000-0000-000008000000}" name="Economic Stability Score" dataDxfId="45"/>
    <tableColumn id="9" xr3:uid="{00000000-0010-0000-0000-000009000000}" name="Population Growth Score" dataDxfId="44"/>
    <tableColumn id="10" xr3:uid="{00000000-0010-0000-0000-00000A000000}" name="HQ Inflow Score" dataDxfId="43"/>
    <tableColumn id="11" xr3:uid="{00000000-0010-0000-0000-00000B000000}" name="Transport Quality Score" dataDxfId="42"/>
    <tableColumn id="12" xr3:uid="{00000000-0010-0000-0000-00000C000000}" name="Map Score" dataDxfId="41"/>
    <tableColumn id="13" xr3:uid="{00000000-0010-0000-0000-00000D000000}" name="Locked True 5 Rank" dataDxfId="40"/>
    <tableColumn id="14" xr3:uid="{00000000-0010-0000-0000-00000E000000}" name="Region" dataDxfId="39"/>
    <tableColumn id="15" xr3:uid="{00000000-0010-0000-0000-00000F000000}" name="GMI Zone" dataDxfId="38"/>
    <tableColumn id="16" xr3:uid="{00000000-0010-0000-0000-000010000000}" name="AE / Owner" dataDxfId="37"/>
    <tableColumn id="17" xr3:uid="{00000000-0010-0000-0000-000011000000}" name="Top Distributor" dataDxfId="36"/>
    <tableColumn id="18" xr3:uid="{00000000-0010-0000-0000-000012000000}" name="HQ Inflow / Companies" dataDxfId="35"/>
    <tableColumn id="19" xr3:uid="{00000000-0010-0000-0000-000013000000}" name="Industries" dataDxfId="34"/>
    <tableColumn id="20" xr3:uid="{00000000-0010-0000-0000-000014000000}" name="Map Volume / Index Field" dataDxfId="33"/>
    <tableColumn id="21" xr3:uid="{00000000-0010-0000-0000-000015000000}" name="Map YoY Field" dataDxfId="32"/>
    <tableColumn id="22" xr3:uid="{00000000-0010-0000-0000-000016000000}" name="10-Year Growth Field" dataDxfId="31"/>
    <tableColumn id="23" xr3:uid="{00000000-0010-0000-0000-000017000000}" name="Mill / Warehouse / Transport" dataDxfId="30"/>
    <tableColumn id="24" xr3:uid="{00000000-0010-0000-0000-000018000000}" name="DMA Match" dataDxfId="29"/>
    <tableColumn id="25" xr3:uid="{00000000-0010-0000-0000-000019000000}" name="Total Industry Lbs" dataDxfId="28"/>
    <tableColumn id="26" xr3:uid="{00000000-0010-0000-0000-00001A000000}" name="GMI Lbs" dataDxfId="27" dataCellStyle="Comma"/>
    <tableColumn id="27" xr3:uid="{00000000-0010-0000-0000-00001B000000}" name="GMI Share %" dataDxfId="26"/>
    <tableColumn id="28" xr3:uid="{00000000-0010-0000-0000-00001C000000}" name="GMI Growth" dataDxfId="25"/>
    <tableColumn id="29" xr3:uid="{00000000-0010-0000-0000-00001D000000}" name="GMI Index Calc" dataDxfId="24"/>
    <tableColumn id="30" xr3:uid="{00000000-0010-0000-0000-00001E000000}" name="Why It Ranks Here"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wNationalMap" displayName="RawNationalMap" ref="A1:U51" headerRowDxfId="22" dataDxfId="21">
  <autoFilter ref="A1:U51" xr:uid="{00000000-0009-0000-0100-000004000000}"/>
  <tableColumns count="21">
    <tableColumn id="1" xr3:uid="{00000000-0010-0000-0300-000001000000}" name="name" dataDxfId="20"/>
    <tableColumn id="2" xr3:uid="{00000000-0010-0000-0300-000002000000}" name="lat" dataDxfId="19"/>
    <tableColumn id="3" xr3:uid="{00000000-0010-0000-0300-000003000000}" name="lng" dataDxfId="18"/>
    <tableColumn id="4" xr3:uid="{00000000-0010-0000-0300-000004000000}" name="score" dataDxfId="17"/>
    <tableColumn id="5" xr3:uid="{00000000-0010-0000-0300-000005000000}" name="rank" dataDxfId="16"/>
    <tableColumn id="6" xr3:uid="{00000000-0010-0000-0300-000006000000}" name="tagline" dataDxfId="15"/>
    <tableColumn id="7" xr3:uid="{00000000-0010-0000-0300-000007000000}" name="pop" dataDxfId="14"/>
    <tableColumn id="8" xr3:uid="{00000000-0010-0000-0300-000008000000}" name="cagr" dataDxfId="13"/>
    <tableColumn id="9" xr3:uid="{00000000-0010-0000-0300-000009000000}" name="censusRegion" dataDxfId="12"/>
    <tableColumn id="10" xr3:uid="{00000000-0010-0000-0300-00000A000000}" name="zone" dataDxfId="11"/>
    <tableColumn id="11" xr3:uid="{00000000-0010-0000-0300-00000B000000}" name="ae" dataDxfId="10"/>
    <tableColumn id="12" xr3:uid="{00000000-0010-0000-0300-00000C000000}" name="distributor" dataDxfId="9"/>
    <tableColumn id="13" xr3:uid="{00000000-0010-0000-0300-00000D000000}" name="hqInflow" dataDxfId="8"/>
    <tableColumn id="14" xr3:uid="{00000000-0010-0000-0300-00000E000000}" name="industries" dataDxfId="7"/>
    <tableColumn id="15" xr3:uid="{00000000-0010-0000-0300-00000F000000}" name="fy26eqc" dataDxfId="6"/>
    <tableColumn id="16" xr3:uid="{00000000-0010-0000-0300-000010000000}" name="plYoY" dataDxfId="5"/>
    <tableColumn id="17" xr3:uid="{00000000-0010-0000-0300-000011000000}" name="growth10yr" dataDxfId="4"/>
    <tableColumn id="18" xr3:uid="{00000000-0010-0000-0300-000012000000}" name="mill" dataDxfId="3"/>
    <tableColumn id="19" xr3:uid="{00000000-0010-0000-0300-000013000000}" name="warehouse" dataDxfId="2"/>
    <tableColumn id="20" xr3:uid="{00000000-0010-0000-0300-000014000000}" name="transport" dataDxfId="1"/>
    <tableColumn id="21" xr3:uid="{00000000-0010-0000-0300-000015000000}" name="insigh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showGridLines="0" workbookViewId="0">
      <selection sqref="A1:F1"/>
    </sheetView>
  </sheetViews>
  <sheetFormatPr defaultRowHeight="14" x14ac:dyDescent="0.35"/>
  <cols>
    <col min="1" max="1" width="22" style="11" customWidth="1"/>
    <col min="2" max="2" width="17.81640625" style="11" customWidth="1"/>
    <col min="3" max="3" width="70" style="11" customWidth="1"/>
    <col min="4" max="4" width="12" style="11" customWidth="1"/>
    <col min="5" max="5" width="24" style="11" customWidth="1"/>
    <col min="6" max="6" width="17" style="11" customWidth="1"/>
    <col min="7" max="16384" width="8.7265625" style="11"/>
  </cols>
  <sheetData>
    <row r="1" spans="1:6" ht="25" x14ac:dyDescent="0.35">
      <c r="A1" s="20" t="s">
        <v>775</v>
      </c>
      <c r="B1" s="21"/>
      <c r="C1" s="21"/>
      <c r="D1" s="21"/>
      <c r="E1" s="21"/>
      <c r="F1" s="22"/>
    </row>
    <row r="2" spans="1:6" ht="22.5" x14ac:dyDescent="0.35">
      <c r="A2" s="23" t="s">
        <v>704</v>
      </c>
      <c r="B2" s="24"/>
      <c r="C2" s="24"/>
      <c r="D2" s="24"/>
      <c r="E2" s="24"/>
      <c r="F2" s="25"/>
    </row>
    <row r="3" spans="1:6" ht="17.5" x14ac:dyDescent="0.35">
      <c r="A3" s="3" t="s">
        <v>0</v>
      </c>
      <c r="B3" s="3" t="s">
        <v>1</v>
      </c>
      <c r="C3" s="26" t="s">
        <v>2</v>
      </c>
      <c r="D3" s="27"/>
      <c r="E3" s="27"/>
      <c r="F3" s="28"/>
    </row>
    <row r="4" spans="1:6" ht="25" customHeight="1" x14ac:dyDescent="0.35">
      <c r="A4" s="10" t="s">
        <v>3</v>
      </c>
      <c r="B4" s="10" t="s">
        <v>4</v>
      </c>
      <c r="C4" s="29" t="s">
        <v>5</v>
      </c>
      <c r="D4" s="30"/>
      <c r="E4" s="30"/>
      <c r="F4" s="31"/>
    </row>
    <row r="5" spans="1:6" ht="25" customHeight="1" x14ac:dyDescent="0.35">
      <c r="A5" s="10" t="s">
        <v>6</v>
      </c>
      <c r="B5" s="10" t="s">
        <v>7</v>
      </c>
      <c r="C5" s="29" t="s">
        <v>8</v>
      </c>
      <c r="D5" s="30"/>
      <c r="E5" s="30"/>
      <c r="F5" s="31"/>
    </row>
    <row r="6" spans="1:6" ht="25" customHeight="1" x14ac:dyDescent="0.35">
      <c r="A6" s="10" t="s">
        <v>9</v>
      </c>
      <c r="B6" s="10" t="s">
        <v>10</v>
      </c>
      <c r="C6" s="29" t="s">
        <v>11</v>
      </c>
      <c r="D6" s="30"/>
      <c r="E6" s="30"/>
      <c r="F6" s="31"/>
    </row>
    <row r="7" spans="1:6" ht="15.5" x14ac:dyDescent="0.35">
      <c r="A7" s="10" t="s">
        <v>12</v>
      </c>
      <c r="B7" s="10" t="s">
        <v>10</v>
      </c>
      <c r="C7" s="29" t="s">
        <v>13</v>
      </c>
      <c r="D7" s="30"/>
      <c r="E7" s="30"/>
      <c r="F7" s="31"/>
    </row>
    <row r="8" spans="1:6" ht="25" customHeight="1" x14ac:dyDescent="0.35">
      <c r="A8" s="10" t="s">
        <v>14</v>
      </c>
      <c r="B8" s="10" t="s">
        <v>15</v>
      </c>
      <c r="C8" s="29" t="s">
        <v>16</v>
      </c>
      <c r="D8" s="30"/>
      <c r="E8" s="30"/>
      <c r="F8" s="31"/>
    </row>
    <row r="9" spans="1:6" ht="25" customHeight="1" x14ac:dyDescent="0.35">
      <c r="A9" s="10" t="s">
        <v>17</v>
      </c>
      <c r="B9" s="10" t="s">
        <v>15</v>
      </c>
      <c r="C9" s="29" t="s">
        <v>18</v>
      </c>
      <c r="D9" s="30"/>
      <c r="E9" s="30"/>
      <c r="F9" s="31"/>
    </row>
    <row r="10" spans="1:6" ht="17.5" x14ac:dyDescent="0.35">
      <c r="A10" s="32" t="s">
        <v>19</v>
      </c>
      <c r="B10" s="33"/>
      <c r="C10" s="34"/>
      <c r="D10" s="32" t="s">
        <v>20</v>
      </c>
      <c r="E10" s="33"/>
      <c r="F10" s="34"/>
    </row>
    <row r="11" spans="1:6" ht="15" x14ac:dyDescent="0.35">
      <c r="A11" s="4" t="s">
        <v>21</v>
      </c>
      <c r="B11" s="4" t="s">
        <v>22</v>
      </c>
      <c r="C11" s="4" t="s">
        <v>23</v>
      </c>
      <c r="D11" s="4" t="s">
        <v>21</v>
      </c>
      <c r="E11" s="4" t="s">
        <v>22</v>
      </c>
      <c r="F11" s="4" t="s">
        <v>23</v>
      </c>
    </row>
    <row r="12" spans="1:6" ht="15.5" x14ac:dyDescent="0.35">
      <c r="A12" s="2">
        <v>1</v>
      </c>
      <c r="B12" s="2" t="str">
        <f>INDEX('All Cities Ranking'!$B$2:$B$51,MATCH(1,'All Cities Ranking'!$A$2:$A$51,0))</f>
        <v>Houston</v>
      </c>
      <c r="C12" s="2">
        <f>INDEX('All Cities Ranking'!$E$2:$E$51,MATCH(1,'All Cities Ranking'!$A$2:$A$51,0))</f>
        <v>4.3499999999999996</v>
      </c>
      <c r="D12" s="2">
        <v>1</v>
      </c>
      <c r="E12" s="2" t="str">
        <f>INDEX('All Cities Ranking'!$B$2:$B$51,MATCH(LARGE('All Cities Ranking'!$A$2:$A$51,1),'All Cities Ranking'!$A$2:$A$51,0))</f>
        <v>Cleveland</v>
      </c>
      <c r="F12" s="2">
        <f>INDEX('All Cities Ranking'!$E$2:$E$51,MATCH(LARGE('All Cities Ranking'!$A$2:$A$51,1),'All Cities Ranking'!$A$2:$A$51,0))</f>
        <v>1.4500000000000002</v>
      </c>
    </row>
    <row r="13" spans="1:6" ht="15.5" x14ac:dyDescent="0.35">
      <c r="A13" s="2">
        <v>2</v>
      </c>
      <c r="B13" s="2" t="str">
        <f>INDEX('All Cities Ranking'!$B$2:$B$51,MATCH(2,'All Cities Ranking'!$A$2:$A$51,0))</f>
        <v>Dallas-Fort Worth</v>
      </c>
      <c r="C13" s="2">
        <f>INDEX('All Cities Ranking'!$E$2:$E$51,MATCH(2,'All Cities Ranking'!$A$2:$A$51,0))</f>
        <v>3.95</v>
      </c>
      <c r="D13" s="2">
        <v>2</v>
      </c>
      <c r="E13" s="2" t="str">
        <f>INDEX('All Cities Ranking'!$B$2:$B$51,MATCH(LARGE('All Cities Ranking'!$A$2:$A$51,2),'All Cities Ranking'!$A$2:$A$51,0))</f>
        <v>Louisville</v>
      </c>
      <c r="F13" s="2">
        <f>INDEX('All Cities Ranking'!$E$2:$E$51,MATCH(LARGE('All Cities Ranking'!$A$2:$A$51,2),'All Cities Ranking'!$A$2:$A$51,0))</f>
        <v>2.35</v>
      </c>
    </row>
    <row r="14" spans="1:6" ht="15.5" x14ac:dyDescent="0.35">
      <c r="A14" s="2">
        <v>3</v>
      </c>
      <c r="B14" s="2" t="str">
        <f>INDEX('All Cities Ranking'!$B$2:$B$51,MATCH(3,'All Cities Ranking'!$A$2:$A$51,0))</f>
        <v>Atlanta</v>
      </c>
      <c r="C14" s="2">
        <f>INDEX('All Cities Ranking'!$E$2:$E$51,MATCH(3,'All Cities Ranking'!$A$2:$A$51,0))</f>
        <v>3.5</v>
      </c>
      <c r="D14" s="2">
        <v>3</v>
      </c>
      <c r="E14" s="2" t="str">
        <f>INDEX('All Cities Ranking'!$B$2:$B$51,MATCH(LARGE('All Cities Ranking'!$A$2:$A$51,3),'All Cities Ranking'!$A$2:$A$51,0))</f>
        <v>Detroit</v>
      </c>
      <c r="F14" s="2">
        <f>INDEX('All Cities Ranking'!$E$2:$E$51,MATCH(LARGE('All Cities Ranking'!$A$2:$A$51,3),'All Cities Ranking'!$A$2:$A$51,0))</f>
        <v>2.3549999999999995</v>
      </c>
    </row>
    <row r="15" spans="1:6" ht="15.5" x14ac:dyDescent="0.35">
      <c r="A15" s="2">
        <v>4</v>
      </c>
      <c r="B15" s="2" t="str">
        <f>INDEX('All Cities Ranking'!$B$2:$B$51,MATCH(4,'All Cities Ranking'!$A$2:$A$51,0))</f>
        <v>Tampa</v>
      </c>
      <c r="C15" s="2">
        <f>INDEX('All Cities Ranking'!$E$2:$E$51,MATCH(4,'All Cities Ranking'!$A$2:$A$51,0))</f>
        <v>3.3000000000000003</v>
      </c>
      <c r="D15" s="2">
        <v>4</v>
      </c>
      <c r="E15" s="2" t="str">
        <f>INDEX('All Cities Ranking'!$B$2:$B$51,MATCH(LARGE('All Cities Ranking'!$A$2:$A$51,4),'All Cities Ranking'!$A$2:$A$51,0))</f>
        <v>Providence</v>
      </c>
      <c r="F15" s="2">
        <f>INDEX('All Cities Ranking'!$E$2:$E$51,MATCH(LARGE('All Cities Ranking'!$A$2:$A$51,4),'All Cities Ranking'!$A$2:$A$51,0))</f>
        <v>2.4500000000000002</v>
      </c>
    </row>
    <row r="16" spans="1:6" ht="15.5" x14ac:dyDescent="0.35">
      <c r="A16" s="2">
        <v>5</v>
      </c>
      <c r="B16" s="2" t="str">
        <f>INDEX('All Cities Ranking'!$B$2:$B$51,MATCH(5,'All Cities Ranking'!$A$2:$A$51,0))</f>
        <v>Phoenix</v>
      </c>
      <c r="C16" s="2">
        <f>INDEX('All Cities Ranking'!$E$2:$E$51,MATCH(5,'All Cities Ranking'!$A$2:$A$51,0))</f>
        <v>2.8</v>
      </c>
      <c r="D16" s="2">
        <v>5</v>
      </c>
      <c r="E16" s="2" t="str">
        <f>INDEX('All Cities Ranking'!$B$2:$B$51,MATCH(LARGE('All Cities Ranking'!$A$2:$A$51,5),'All Cities Ranking'!$A$2:$A$51,0))</f>
        <v>Raleigh</v>
      </c>
      <c r="F16" s="2">
        <f>INDEX('All Cities Ranking'!$E$2:$E$51,MATCH(LARGE('All Cities Ranking'!$A$2:$A$51,5),'All Cities Ranking'!$A$2:$A$51,0))</f>
        <v>2.5299999999999998</v>
      </c>
    </row>
    <row r="17" s="11" customFormat="1" x14ac:dyDescent="0.35"/>
    <row r="18" s="11" customFormat="1" x14ac:dyDescent="0.35"/>
    <row r="19" s="11" customFormat="1" x14ac:dyDescent="0.35"/>
    <row r="20" s="11" customFormat="1" x14ac:dyDescent="0.35"/>
    <row r="21" s="11" customFormat="1" x14ac:dyDescent="0.35"/>
    <row r="22" s="11" customFormat="1" x14ac:dyDescent="0.35"/>
    <row r="23" s="11" customFormat="1" x14ac:dyDescent="0.35"/>
  </sheetData>
  <mergeCells count="11">
    <mergeCell ref="C6:F6"/>
    <mergeCell ref="C7:F7"/>
    <mergeCell ref="C8:F8"/>
    <mergeCell ref="C9:F9"/>
    <mergeCell ref="A10:C10"/>
    <mergeCell ref="D10:F10"/>
    <mergeCell ref="A1:F1"/>
    <mergeCell ref="A2:F2"/>
    <mergeCell ref="C3:F3"/>
    <mergeCell ref="C4:F4"/>
    <mergeCell ref="C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showGridLines="0" workbookViewId="0">
      <selection activeCell="B2" sqref="B2"/>
    </sheetView>
  </sheetViews>
  <sheetFormatPr defaultRowHeight="14.5" x14ac:dyDescent="0.35"/>
  <cols>
    <col min="1" max="1" width="28" customWidth="1"/>
    <col min="2" max="2" width="110" customWidth="1"/>
  </cols>
  <sheetData>
    <row r="1" spans="1:2" ht="15" x14ac:dyDescent="0.35">
      <c r="A1" s="6" t="s">
        <v>502</v>
      </c>
      <c r="B1" s="6" t="s">
        <v>503</v>
      </c>
    </row>
    <row r="2" spans="1:2" ht="108.5" x14ac:dyDescent="0.35">
      <c r="A2" s="12" t="s">
        <v>504</v>
      </c>
      <c r="B2" s="12" t="s">
        <v>505</v>
      </c>
    </row>
    <row r="3" spans="1:2" ht="31" x14ac:dyDescent="0.35">
      <c r="A3" s="7" t="s">
        <v>506</v>
      </c>
      <c r="B3" s="7" t="s">
        <v>507</v>
      </c>
    </row>
    <row r="4" spans="1:2" ht="31" x14ac:dyDescent="0.35">
      <c r="A4" s="12" t="s">
        <v>508</v>
      </c>
      <c r="B4" s="12" t="s">
        <v>737</v>
      </c>
    </row>
    <row r="5" spans="1:2" ht="45" customHeight="1" x14ac:dyDescent="0.35">
      <c r="A5" s="7" t="s">
        <v>509</v>
      </c>
      <c r="B5" s="7" t="s">
        <v>736</v>
      </c>
    </row>
    <row r="6" spans="1:2" ht="45" customHeight="1" x14ac:dyDescent="0.35">
      <c r="A6" s="12" t="s">
        <v>735</v>
      </c>
      <c r="B6" s="12" t="s">
        <v>510</v>
      </c>
    </row>
    <row r="7" spans="1:2" ht="45" customHeight="1" x14ac:dyDescent="0.35">
      <c r="A7" s="7" t="s">
        <v>511</v>
      </c>
      <c r="B7" s="7" t="s">
        <v>512</v>
      </c>
    </row>
    <row r="8" spans="1:2" ht="45" customHeight="1" x14ac:dyDescent="0.35">
      <c r="A8" s="12" t="s">
        <v>513</v>
      </c>
      <c r="B8" s="12" t="s">
        <v>514</v>
      </c>
    </row>
    <row r="9" spans="1:2" ht="45" customHeight="1" x14ac:dyDescent="0.35">
      <c r="A9" s="7" t="s">
        <v>515</v>
      </c>
      <c r="B9" s="7" t="s">
        <v>516</v>
      </c>
    </row>
    <row r="10" spans="1:2" ht="45" customHeight="1" x14ac:dyDescent="0.35">
      <c r="A10" s="12" t="s">
        <v>517</v>
      </c>
      <c r="B10" s="12" t="s">
        <v>518</v>
      </c>
    </row>
    <row r="11" spans="1:2" ht="45" customHeight="1" x14ac:dyDescent="0.35"/>
    <row r="12" spans="1:2" ht="45" customHeight="1" x14ac:dyDescent="0.35"/>
    <row r="13" spans="1:2" ht="45" customHeight="1" x14ac:dyDescent="0.35"/>
    <row r="14" spans="1:2" ht="45" customHeight="1" x14ac:dyDescent="0.3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1"/>
  <sheetViews>
    <sheetView showGridLines="0" tabSelected="1" workbookViewId="0">
      <pane ySplit="4" topLeftCell="A5" activePane="bottomLeft" state="frozen"/>
      <selection pane="bottomLeft" activeCell="G9" sqref="G9"/>
    </sheetView>
  </sheetViews>
  <sheetFormatPr defaultRowHeight="14.5" x14ac:dyDescent="0.35"/>
  <cols>
    <col min="1" max="3" width="25.6328125" customWidth="1"/>
    <col min="4" max="4" width="30.90625" customWidth="1"/>
    <col min="5" max="11" width="25.6328125" customWidth="1"/>
  </cols>
  <sheetData>
    <row r="1" spans="1:11" ht="15" x14ac:dyDescent="0.35">
      <c r="A1" s="9" t="s">
        <v>24</v>
      </c>
      <c r="B1" s="9" t="s">
        <v>25</v>
      </c>
      <c r="C1" s="9" t="s">
        <v>35</v>
      </c>
      <c r="D1" s="9" t="s">
        <v>37</v>
      </c>
      <c r="E1" s="9" t="s">
        <v>23</v>
      </c>
      <c r="F1" s="9" t="s">
        <v>28</v>
      </c>
      <c r="G1" s="9" t="s">
        <v>29</v>
      </c>
      <c r="H1" s="9" t="s">
        <v>30</v>
      </c>
      <c r="I1" s="9" t="s">
        <v>732</v>
      </c>
      <c r="J1" s="9" t="s">
        <v>31</v>
      </c>
      <c r="K1" s="9" t="s">
        <v>32</v>
      </c>
    </row>
    <row r="2" spans="1:11" ht="15.5" x14ac:dyDescent="0.35">
      <c r="A2" s="7">
        <v>1</v>
      </c>
      <c r="B2" s="7" t="s">
        <v>51</v>
      </c>
      <c r="C2" s="7" t="s">
        <v>54</v>
      </c>
      <c r="D2" s="7" t="s">
        <v>56</v>
      </c>
      <c r="E2" s="8">
        <v>4.3499999999999996</v>
      </c>
      <c r="F2" s="8">
        <v>5</v>
      </c>
      <c r="G2" s="8">
        <v>5</v>
      </c>
      <c r="H2" s="8">
        <v>4</v>
      </c>
      <c r="I2" s="8">
        <v>3</v>
      </c>
      <c r="J2" s="8">
        <v>4</v>
      </c>
      <c r="K2" s="8">
        <v>4</v>
      </c>
    </row>
    <row r="3" spans="1:11" ht="15.5" x14ac:dyDescent="0.35">
      <c r="A3" s="7">
        <v>2</v>
      </c>
      <c r="B3" s="7" t="s">
        <v>65</v>
      </c>
      <c r="C3" s="7" t="s">
        <v>54</v>
      </c>
      <c r="D3" s="7" t="s">
        <v>66</v>
      </c>
      <c r="E3" s="8">
        <v>3.95</v>
      </c>
      <c r="F3" s="8">
        <v>4</v>
      </c>
      <c r="G3" s="8">
        <v>2</v>
      </c>
      <c r="H3" s="8">
        <v>5</v>
      </c>
      <c r="I3" s="8">
        <v>4</v>
      </c>
      <c r="J3" s="8">
        <v>5</v>
      </c>
      <c r="K3" s="8">
        <v>5</v>
      </c>
    </row>
    <row r="4" spans="1:11" ht="15.5" x14ac:dyDescent="0.35">
      <c r="A4" s="7">
        <v>3</v>
      </c>
      <c r="B4" s="7" t="s">
        <v>75</v>
      </c>
      <c r="C4" s="7" t="s">
        <v>54</v>
      </c>
      <c r="D4" s="7" t="s">
        <v>77</v>
      </c>
      <c r="E4" s="8">
        <v>3.5</v>
      </c>
      <c r="F4" s="8">
        <v>3</v>
      </c>
      <c r="G4" s="8">
        <v>5</v>
      </c>
      <c r="H4" s="8">
        <v>4</v>
      </c>
      <c r="I4" s="8">
        <v>2</v>
      </c>
      <c r="J4" s="8">
        <v>5</v>
      </c>
      <c r="K4" s="8">
        <v>2</v>
      </c>
    </row>
    <row r="5" spans="1:11" ht="15.5" x14ac:dyDescent="0.35">
      <c r="A5" s="7">
        <v>4</v>
      </c>
      <c r="B5" s="7" t="s">
        <v>86</v>
      </c>
      <c r="C5" s="7" t="s">
        <v>54</v>
      </c>
      <c r="D5" s="7" t="s">
        <v>87</v>
      </c>
      <c r="E5" s="8">
        <v>3.3</v>
      </c>
      <c r="F5" s="8">
        <v>3</v>
      </c>
      <c r="G5" s="8">
        <v>4</v>
      </c>
      <c r="H5" s="8">
        <v>5</v>
      </c>
      <c r="I5" s="8">
        <v>3</v>
      </c>
      <c r="J5" s="8">
        <v>3</v>
      </c>
      <c r="K5" s="8">
        <v>1</v>
      </c>
    </row>
    <row r="6" spans="1:11" ht="15.5" x14ac:dyDescent="0.35">
      <c r="A6" s="7">
        <v>5</v>
      </c>
      <c r="B6" s="7" t="s">
        <v>96</v>
      </c>
      <c r="C6" s="7" t="s">
        <v>97</v>
      </c>
      <c r="D6" s="7" t="s">
        <v>98</v>
      </c>
      <c r="E6" s="8">
        <v>2.8</v>
      </c>
      <c r="F6" s="8">
        <v>1</v>
      </c>
      <c r="G6" s="8">
        <v>4</v>
      </c>
      <c r="H6" s="8">
        <v>1</v>
      </c>
      <c r="I6" s="8">
        <v>5</v>
      </c>
      <c r="J6" s="8">
        <v>3</v>
      </c>
      <c r="K6" s="8">
        <v>5</v>
      </c>
    </row>
    <row r="7" spans="1:11" ht="15.5" x14ac:dyDescent="0.35">
      <c r="A7" s="7">
        <v>6</v>
      </c>
      <c r="B7" s="7" t="s">
        <v>107</v>
      </c>
      <c r="C7" s="7" t="s">
        <v>54</v>
      </c>
      <c r="D7" s="7" t="s">
        <v>56</v>
      </c>
      <c r="E7" s="8">
        <v>3.62</v>
      </c>
      <c r="F7" s="8">
        <v>3.5</v>
      </c>
      <c r="G7" s="8">
        <v>5</v>
      </c>
      <c r="H7" s="8">
        <v>4.5</v>
      </c>
      <c r="I7" s="8">
        <v>1</v>
      </c>
      <c r="J7" s="8">
        <v>3.5</v>
      </c>
      <c r="K7" s="8">
        <v>4</v>
      </c>
    </row>
    <row r="8" spans="1:11" ht="15.5" x14ac:dyDescent="0.35">
      <c r="A8" s="7">
        <v>7</v>
      </c>
      <c r="B8" s="7" t="s">
        <v>118</v>
      </c>
      <c r="C8" s="7" t="s">
        <v>54</v>
      </c>
      <c r="D8" s="7" t="s">
        <v>121</v>
      </c>
      <c r="E8" s="8">
        <v>3.27</v>
      </c>
      <c r="F8" s="8">
        <v>3.5</v>
      </c>
      <c r="G8" s="8">
        <v>4</v>
      </c>
      <c r="H8" s="8">
        <v>4.8</v>
      </c>
      <c r="I8" s="8">
        <v>1</v>
      </c>
      <c r="J8" s="8">
        <v>2.5</v>
      </c>
      <c r="K8" s="8">
        <v>3</v>
      </c>
    </row>
    <row r="9" spans="1:11" ht="15.5" x14ac:dyDescent="0.35">
      <c r="A9" s="7">
        <v>8</v>
      </c>
      <c r="B9" s="7" t="s">
        <v>130</v>
      </c>
      <c r="C9" s="7" t="s">
        <v>54</v>
      </c>
      <c r="D9" s="7" t="s">
        <v>131</v>
      </c>
      <c r="E9" s="8">
        <v>3.25</v>
      </c>
      <c r="F9" s="8">
        <v>3.5</v>
      </c>
      <c r="G9" s="8">
        <v>4</v>
      </c>
      <c r="H9" s="8">
        <v>4</v>
      </c>
      <c r="I9" s="8">
        <v>1</v>
      </c>
      <c r="J9" s="8">
        <v>2.5</v>
      </c>
      <c r="K9" s="8">
        <v>4</v>
      </c>
    </row>
    <row r="10" spans="1:11" ht="15.5" x14ac:dyDescent="0.35">
      <c r="A10" s="7">
        <v>9</v>
      </c>
      <c r="B10" s="7" t="s">
        <v>140</v>
      </c>
      <c r="C10" s="7" t="s">
        <v>97</v>
      </c>
      <c r="D10" s="7" t="s">
        <v>142</v>
      </c>
      <c r="E10" s="8">
        <v>3.22</v>
      </c>
      <c r="F10" s="8">
        <v>3</v>
      </c>
      <c r="G10" s="8">
        <v>3</v>
      </c>
      <c r="H10" s="8">
        <v>3.8</v>
      </c>
      <c r="I10" s="8">
        <v>2</v>
      </c>
      <c r="J10" s="8">
        <v>3.5</v>
      </c>
      <c r="K10" s="8">
        <v>5</v>
      </c>
    </row>
    <row r="11" spans="1:11" ht="15.5" x14ac:dyDescent="0.35">
      <c r="A11" s="7">
        <v>10</v>
      </c>
      <c r="B11" s="7" t="s">
        <v>151</v>
      </c>
      <c r="C11" s="7" t="s">
        <v>152</v>
      </c>
      <c r="D11" s="7" t="s">
        <v>131</v>
      </c>
      <c r="E11" s="8">
        <v>3.15</v>
      </c>
      <c r="F11" s="8">
        <v>2.6</v>
      </c>
      <c r="G11" s="8">
        <v>5</v>
      </c>
      <c r="H11" s="8">
        <v>3.8</v>
      </c>
      <c r="I11" s="8">
        <v>1</v>
      </c>
      <c r="J11" s="8">
        <v>2.5</v>
      </c>
      <c r="K11" s="8">
        <v>4</v>
      </c>
    </row>
    <row r="12" spans="1:11" ht="15.5" x14ac:dyDescent="0.35">
      <c r="A12" s="7">
        <v>11</v>
      </c>
      <c r="B12" s="7" t="s">
        <v>161</v>
      </c>
      <c r="C12" s="7" t="s">
        <v>97</v>
      </c>
      <c r="D12" s="7" t="s">
        <v>98</v>
      </c>
      <c r="E12" s="8">
        <v>3.13</v>
      </c>
      <c r="F12" s="8">
        <v>3.6</v>
      </c>
      <c r="G12" s="8">
        <v>3</v>
      </c>
      <c r="H12" s="8">
        <v>4</v>
      </c>
      <c r="I12" s="8">
        <v>1</v>
      </c>
      <c r="J12" s="8">
        <v>2.5</v>
      </c>
      <c r="K12" s="8">
        <v>4.5</v>
      </c>
    </row>
    <row r="13" spans="1:11" ht="15.5" x14ac:dyDescent="0.35">
      <c r="A13" s="7">
        <v>12</v>
      </c>
      <c r="B13" s="7" t="s">
        <v>170</v>
      </c>
      <c r="C13" s="7" t="s">
        <v>54</v>
      </c>
      <c r="D13" s="7" t="s">
        <v>121</v>
      </c>
      <c r="E13" s="8">
        <v>3.13</v>
      </c>
      <c r="F13" s="8">
        <v>3</v>
      </c>
      <c r="G13" s="8">
        <v>4</v>
      </c>
      <c r="H13" s="8">
        <v>4.2</v>
      </c>
      <c r="I13" s="8">
        <v>1</v>
      </c>
      <c r="J13" s="8">
        <v>2.5</v>
      </c>
      <c r="K13" s="8">
        <v>4</v>
      </c>
    </row>
    <row r="14" spans="1:11" ht="15.5" x14ac:dyDescent="0.35">
      <c r="A14" s="7">
        <v>13</v>
      </c>
      <c r="B14" s="7" t="s">
        <v>179</v>
      </c>
      <c r="C14" s="7" t="s">
        <v>54</v>
      </c>
      <c r="D14" s="7" t="s">
        <v>131</v>
      </c>
      <c r="E14" s="8">
        <v>3.13</v>
      </c>
      <c r="F14" s="8">
        <v>3.5</v>
      </c>
      <c r="G14" s="8">
        <v>4</v>
      </c>
      <c r="H14" s="8">
        <v>4.2</v>
      </c>
      <c r="I14" s="8">
        <v>1</v>
      </c>
      <c r="J14" s="8">
        <v>2.5</v>
      </c>
      <c r="K14" s="8">
        <v>2.5</v>
      </c>
    </row>
    <row r="15" spans="1:11" ht="15.5" x14ac:dyDescent="0.35">
      <c r="A15" s="7">
        <v>14</v>
      </c>
      <c r="B15" s="7" t="s">
        <v>188</v>
      </c>
      <c r="C15" s="7" t="s">
        <v>97</v>
      </c>
      <c r="D15" s="7" t="s">
        <v>142</v>
      </c>
      <c r="E15" s="8">
        <v>3.12</v>
      </c>
      <c r="F15" s="8">
        <v>3</v>
      </c>
      <c r="G15" s="8">
        <v>3</v>
      </c>
      <c r="H15" s="8">
        <v>3.8</v>
      </c>
      <c r="I15" s="8">
        <v>2</v>
      </c>
      <c r="J15" s="8">
        <v>2.5</v>
      </c>
      <c r="K15" s="8">
        <v>5</v>
      </c>
    </row>
    <row r="16" spans="1:11" ht="15.5" x14ac:dyDescent="0.35">
      <c r="A16" s="7">
        <v>15</v>
      </c>
      <c r="B16" s="7" t="s">
        <v>194</v>
      </c>
      <c r="C16" s="7" t="s">
        <v>54</v>
      </c>
      <c r="D16" s="7" t="s">
        <v>87</v>
      </c>
      <c r="E16" s="8">
        <v>3.11</v>
      </c>
      <c r="F16" s="8">
        <v>2.6</v>
      </c>
      <c r="G16" s="8">
        <v>5</v>
      </c>
      <c r="H16" s="8">
        <v>4.2</v>
      </c>
      <c r="I16" s="8">
        <v>1</v>
      </c>
      <c r="J16" s="8">
        <v>2.5</v>
      </c>
      <c r="K16" s="8">
        <v>3</v>
      </c>
    </row>
    <row r="17" spans="1:11" ht="15.5" x14ac:dyDescent="0.35">
      <c r="A17" s="7">
        <v>16</v>
      </c>
      <c r="B17" s="7" t="s">
        <v>203</v>
      </c>
      <c r="C17" s="7" t="s">
        <v>152</v>
      </c>
      <c r="D17" s="7" t="s">
        <v>204</v>
      </c>
      <c r="E17" s="8">
        <v>3.1</v>
      </c>
      <c r="F17" s="8">
        <v>2.6</v>
      </c>
      <c r="G17" s="8">
        <v>5</v>
      </c>
      <c r="H17" s="8">
        <v>4.5</v>
      </c>
      <c r="I17" s="8">
        <v>1</v>
      </c>
      <c r="J17" s="8">
        <v>2.5</v>
      </c>
      <c r="K17" s="8">
        <v>2.5</v>
      </c>
    </row>
    <row r="18" spans="1:11" ht="15.5" x14ac:dyDescent="0.35">
      <c r="A18" s="7">
        <v>17</v>
      </c>
      <c r="B18" s="7" t="s">
        <v>212</v>
      </c>
      <c r="C18" s="7" t="s">
        <v>213</v>
      </c>
      <c r="D18" s="7" t="s">
        <v>214</v>
      </c>
      <c r="E18" s="8">
        <v>3.08</v>
      </c>
      <c r="F18" s="8">
        <v>2.1</v>
      </c>
      <c r="G18" s="8">
        <v>4</v>
      </c>
      <c r="H18" s="8">
        <v>4</v>
      </c>
      <c r="I18" s="8">
        <v>2</v>
      </c>
      <c r="J18" s="8">
        <v>3.5</v>
      </c>
      <c r="K18" s="8">
        <v>4</v>
      </c>
    </row>
    <row r="19" spans="1:11" ht="15.5" x14ac:dyDescent="0.35">
      <c r="A19" s="7">
        <v>18</v>
      </c>
      <c r="B19" s="7" t="s">
        <v>222</v>
      </c>
      <c r="C19" s="7" t="s">
        <v>213</v>
      </c>
      <c r="D19" s="7" t="s">
        <v>121</v>
      </c>
      <c r="E19" s="8">
        <v>3.08</v>
      </c>
      <c r="F19" s="8">
        <v>3</v>
      </c>
      <c r="G19" s="8">
        <v>3</v>
      </c>
      <c r="H19" s="8">
        <v>4.5</v>
      </c>
      <c r="I19" s="8">
        <v>1</v>
      </c>
      <c r="J19" s="8">
        <v>2.5</v>
      </c>
      <c r="K19" s="8">
        <v>5</v>
      </c>
    </row>
    <row r="20" spans="1:11" ht="15.5" x14ac:dyDescent="0.35">
      <c r="A20" s="7">
        <v>19</v>
      </c>
      <c r="B20" s="7" t="s">
        <v>231</v>
      </c>
      <c r="C20" s="7" t="s">
        <v>97</v>
      </c>
      <c r="D20" s="7" t="s">
        <v>232</v>
      </c>
      <c r="E20" s="8">
        <v>3.08</v>
      </c>
      <c r="F20" s="8">
        <v>3</v>
      </c>
      <c r="G20" s="8">
        <v>3</v>
      </c>
      <c r="H20" s="8">
        <v>4.5</v>
      </c>
      <c r="I20" s="8">
        <v>1</v>
      </c>
      <c r="J20" s="8">
        <v>2.5</v>
      </c>
      <c r="K20" s="8">
        <v>5</v>
      </c>
    </row>
    <row r="21" spans="1:11" ht="15.5" x14ac:dyDescent="0.35">
      <c r="A21" s="7">
        <v>20</v>
      </c>
      <c r="B21" s="7" t="s">
        <v>238</v>
      </c>
      <c r="C21" s="7" t="s">
        <v>97</v>
      </c>
      <c r="D21" s="7" t="s">
        <v>142</v>
      </c>
      <c r="E21" s="8">
        <v>3.08</v>
      </c>
      <c r="F21" s="8">
        <v>3</v>
      </c>
      <c r="G21" s="8">
        <v>3</v>
      </c>
      <c r="H21" s="8">
        <v>4.5</v>
      </c>
      <c r="I21" s="8">
        <v>1</v>
      </c>
      <c r="J21" s="8">
        <v>2.5</v>
      </c>
      <c r="K21" s="8">
        <v>5</v>
      </c>
    </row>
    <row r="22" spans="1:11" ht="15.5" x14ac:dyDescent="0.35">
      <c r="A22" s="7">
        <v>21</v>
      </c>
      <c r="B22" s="7" t="s">
        <v>244</v>
      </c>
      <c r="C22" s="7" t="s">
        <v>54</v>
      </c>
      <c r="D22" s="7" t="s">
        <v>56</v>
      </c>
      <c r="E22" s="8">
        <v>3.07</v>
      </c>
      <c r="F22" s="8">
        <v>3.9</v>
      </c>
      <c r="G22" s="8">
        <v>3</v>
      </c>
      <c r="H22" s="8">
        <v>4</v>
      </c>
      <c r="I22" s="8">
        <v>1</v>
      </c>
      <c r="J22" s="8">
        <v>2.5</v>
      </c>
      <c r="K22" s="8">
        <v>3</v>
      </c>
    </row>
    <row r="23" spans="1:11" ht="15.5" x14ac:dyDescent="0.35">
      <c r="A23" s="7">
        <v>22</v>
      </c>
      <c r="B23" s="7" t="s">
        <v>252</v>
      </c>
      <c r="C23" s="7" t="s">
        <v>152</v>
      </c>
      <c r="D23" s="7" t="s">
        <v>204</v>
      </c>
      <c r="E23" s="8">
        <v>3.06</v>
      </c>
      <c r="F23" s="8">
        <v>2.6</v>
      </c>
      <c r="G23" s="8">
        <v>5</v>
      </c>
      <c r="H23" s="8">
        <v>4.2</v>
      </c>
      <c r="I23" s="8">
        <v>1</v>
      </c>
      <c r="J23" s="8">
        <v>2.5</v>
      </c>
      <c r="K23" s="8">
        <v>2.5</v>
      </c>
    </row>
    <row r="24" spans="1:11" ht="15.5" x14ac:dyDescent="0.35">
      <c r="A24" s="7">
        <v>23</v>
      </c>
      <c r="B24" s="7" t="s">
        <v>261</v>
      </c>
      <c r="C24" s="7" t="s">
        <v>213</v>
      </c>
      <c r="D24" s="7" t="s">
        <v>262</v>
      </c>
      <c r="E24" s="8">
        <v>3.06</v>
      </c>
      <c r="F24" s="8">
        <v>2.1</v>
      </c>
      <c r="G24" s="8">
        <v>5</v>
      </c>
      <c r="H24" s="8">
        <v>4.2</v>
      </c>
      <c r="I24" s="8">
        <v>1</v>
      </c>
      <c r="J24" s="8">
        <v>2.5</v>
      </c>
      <c r="K24" s="8">
        <v>4</v>
      </c>
    </row>
    <row r="25" spans="1:11" ht="15.5" x14ac:dyDescent="0.35">
      <c r="A25" s="7">
        <v>24</v>
      </c>
      <c r="B25" s="7" t="s">
        <v>270</v>
      </c>
      <c r="C25" s="7" t="s">
        <v>152</v>
      </c>
      <c r="D25" s="7" t="s">
        <v>204</v>
      </c>
      <c r="E25" s="8">
        <v>3.02</v>
      </c>
      <c r="F25" s="8">
        <v>3</v>
      </c>
      <c r="G25" s="8">
        <v>4</v>
      </c>
      <c r="H25" s="8">
        <v>4.5</v>
      </c>
      <c r="I25" s="8">
        <v>1</v>
      </c>
      <c r="J25" s="8">
        <v>2.5</v>
      </c>
      <c r="K25" s="8">
        <v>2.5</v>
      </c>
    </row>
    <row r="26" spans="1:11" ht="15.5" x14ac:dyDescent="0.35">
      <c r="A26" s="7">
        <v>25</v>
      </c>
      <c r="B26" s="7" t="s">
        <v>278</v>
      </c>
      <c r="C26" s="7" t="s">
        <v>97</v>
      </c>
      <c r="D26" s="7" t="s">
        <v>232</v>
      </c>
      <c r="E26" s="8">
        <v>3.02</v>
      </c>
      <c r="F26" s="8">
        <v>3</v>
      </c>
      <c r="G26" s="8">
        <v>3</v>
      </c>
      <c r="H26" s="8">
        <v>3.8</v>
      </c>
      <c r="I26" s="8">
        <v>1</v>
      </c>
      <c r="J26" s="8">
        <v>3</v>
      </c>
      <c r="K26" s="8">
        <v>5</v>
      </c>
    </row>
    <row r="27" spans="1:11" ht="15.5" x14ac:dyDescent="0.35">
      <c r="A27" s="7">
        <v>26</v>
      </c>
      <c r="B27" s="7" t="s">
        <v>285</v>
      </c>
      <c r="C27" s="7" t="s">
        <v>54</v>
      </c>
      <c r="D27" s="7" t="s">
        <v>121</v>
      </c>
      <c r="E27" s="8">
        <v>3</v>
      </c>
      <c r="F27" s="8">
        <v>3</v>
      </c>
      <c r="G27" s="8">
        <v>3</v>
      </c>
      <c r="H27" s="8">
        <v>4</v>
      </c>
      <c r="I27" s="8">
        <v>1</v>
      </c>
      <c r="J27" s="8">
        <v>2.5</v>
      </c>
      <c r="K27" s="8">
        <v>5</v>
      </c>
    </row>
    <row r="28" spans="1:11" ht="15.5" x14ac:dyDescent="0.35">
      <c r="A28" s="7">
        <v>27</v>
      </c>
      <c r="B28" s="7" t="s">
        <v>293</v>
      </c>
      <c r="C28" s="7" t="s">
        <v>54</v>
      </c>
      <c r="D28" s="7" t="s">
        <v>87</v>
      </c>
      <c r="E28" s="8">
        <v>2.95</v>
      </c>
      <c r="F28" s="8">
        <v>2.6</v>
      </c>
      <c r="G28" s="8">
        <v>4</v>
      </c>
      <c r="H28" s="8">
        <v>3.8</v>
      </c>
      <c r="I28" s="8">
        <v>1</v>
      </c>
      <c r="J28" s="8">
        <v>2.5</v>
      </c>
      <c r="K28" s="8">
        <v>4</v>
      </c>
    </row>
    <row r="29" spans="1:11" ht="15.5" x14ac:dyDescent="0.35">
      <c r="A29" s="7">
        <v>28</v>
      </c>
      <c r="B29" s="7" t="s">
        <v>301</v>
      </c>
      <c r="C29" s="7" t="s">
        <v>97</v>
      </c>
      <c r="D29" s="7" t="s">
        <v>232</v>
      </c>
      <c r="E29" s="8">
        <v>2.92</v>
      </c>
      <c r="F29" s="8">
        <v>3</v>
      </c>
      <c r="G29" s="8">
        <v>3</v>
      </c>
      <c r="H29" s="8">
        <v>3.5</v>
      </c>
      <c r="I29" s="8">
        <v>1</v>
      </c>
      <c r="J29" s="8">
        <v>3.5</v>
      </c>
      <c r="K29" s="8">
        <v>4</v>
      </c>
    </row>
    <row r="30" spans="1:11" ht="15.5" x14ac:dyDescent="0.35">
      <c r="A30" s="7">
        <v>29</v>
      </c>
      <c r="B30" s="7" t="s">
        <v>307</v>
      </c>
      <c r="C30" s="7" t="s">
        <v>152</v>
      </c>
      <c r="D30" s="7" t="s">
        <v>204</v>
      </c>
      <c r="E30" s="8">
        <v>2.92</v>
      </c>
      <c r="F30" s="8">
        <v>3.5</v>
      </c>
      <c r="G30" s="8">
        <v>3</v>
      </c>
      <c r="H30" s="8">
        <v>3.8</v>
      </c>
      <c r="I30" s="8">
        <v>1</v>
      </c>
      <c r="J30" s="8">
        <v>3</v>
      </c>
      <c r="K30" s="8">
        <v>2.5</v>
      </c>
    </row>
    <row r="31" spans="1:11" ht="15.5" x14ac:dyDescent="0.35">
      <c r="A31" s="7">
        <v>30</v>
      </c>
      <c r="B31" s="7" t="s">
        <v>315</v>
      </c>
      <c r="C31" s="7" t="s">
        <v>152</v>
      </c>
      <c r="D31" s="7" t="s">
        <v>316</v>
      </c>
      <c r="E31" s="8">
        <v>2.91</v>
      </c>
      <c r="F31" s="8">
        <v>3.6</v>
      </c>
      <c r="G31" s="8">
        <v>2</v>
      </c>
      <c r="H31" s="8">
        <v>4.2</v>
      </c>
      <c r="I31" s="8">
        <v>1</v>
      </c>
      <c r="J31" s="8">
        <v>2.5</v>
      </c>
      <c r="K31" s="8">
        <v>4</v>
      </c>
    </row>
    <row r="32" spans="1:11" ht="15.5" x14ac:dyDescent="0.35">
      <c r="A32" s="7">
        <v>31</v>
      </c>
      <c r="B32" s="7" t="s">
        <v>325</v>
      </c>
      <c r="C32" s="7" t="s">
        <v>54</v>
      </c>
      <c r="D32" s="7" t="s">
        <v>77</v>
      </c>
      <c r="E32" s="8">
        <v>2.9</v>
      </c>
      <c r="F32" s="8">
        <v>3</v>
      </c>
      <c r="G32" s="8">
        <v>4</v>
      </c>
      <c r="H32" s="8">
        <v>4</v>
      </c>
      <c r="I32" s="8">
        <v>1</v>
      </c>
      <c r="J32" s="8">
        <v>2.5</v>
      </c>
      <c r="K32" s="8">
        <v>2</v>
      </c>
    </row>
    <row r="33" spans="1:11" ht="15.5" x14ac:dyDescent="0.35">
      <c r="A33" s="7">
        <v>32</v>
      </c>
      <c r="B33" s="7" t="s">
        <v>334</v>
      </c>
      <c r="C33" s="7" t="s">
        <v>97</v>
      </c>
      <c r="D33" s="7" t="s">
        <v>98</v>
      </c>
      <c r="E33" s="8">
        <v>2.88</v>
      </c>
      <c r="F33" s="8">
        <v>3</v>
      </c>
      <c r="G33" s="8">
        <v>3</v>
      </c>
      <c r="H33" s="8">
        <v>4.5</v>
      </c>
      <c r="I33" s="8">
        <v>1</v>
      </c>
      <c r="J33" s="8">
        <v>3.5</v>
      </c>
      <c r="K33" s="8">
        <v>2</v>
      </c>
    </row>
    <row r="34" spans="1:11" ht="15.5" x14ac:dyDescent="0.35">
      <c r="A34" s="7">
        <v>33</v>
      </c>
      <c r="B34" s="7" t="s">
        <v>340</v>
      </c>
      <c r="C34" s="7" t="s">
        <v>152</v>
      </c>
      <c r="D34" s="7" t="s">
        <v>316</v>
      </c>
      <c r="E34" s="8">
        <v>2.82</v>
      </c>
      <c r="F34" s="8">
        <v>3.9</v>
      </c>
      <c r="G34" s="8">
        <v>2</v>
      </c>
      <c r="H34" s="8">
        <v>4</v>
      </c>
      <c r="I34" s="8">
        <v>1</v>
      </c>
      <c r="J34" s="8">
        <v>2.5</v>
      </c>
      <c r="K34" s="8">
        <v>2.5</v>
      </c>
    </row>
    <row r="35" spans="1:11" ht="15.5" x14ac:dyDescent="0.35">
      <c r="A35" s="7">
        <v>34</v>
      </c>
      <c r="B35" s="7" t="s">
        <v>348</v>
      </c>
      <c r="C35" s="7" t="s">
        <v>97</v>
      </c>
      <c r="D35" s="7" t="s">
        <v>142</v>
      </c>
      <c r="E35" s="8">
        <v>2.81</v>
      </c>
      <c r="F35" s="8">
        <v>3.6</v>
      </c>
      <c r="G35" s="8">
        <v>3</v>
      </c>
      <c r="H35" s="8">
        <v>4.2</v>
      </c>
      <c r="I35" s="8">
        <v>1</v>
      </c>
      <c r="J35" s="8">
        <v>2.5</v>
      </c>
      <c r="K35" s="8">
        <v>1</v>
      </c>
    </row>
    <row r="36" spans="1:11" ht="15.5" x14ac:dyDescent="0.35">
      <c r="A36" s="7">
        <v>35</v>
      </c>
      <c r="B36" s="7" t="s">
        <v>356</v>
      </c>
      <c r="C36" s="7" t="s">
        <v>213</v>
      </c>
      <c r="D36" s="7" t="s">
        <v>357</v>
      </c>
      <c r="E36" s="8">
        <v>2.81</v>
      </c>
      <c r="F36" s="8">
        <v>3.6</v>
      </c>
      <c r="G36" s="8">
        <v>2</v>
      </c>
      <c r="H36" s="8">
        <v>4.2</v>
      </c>
      <c r="I36" s="8">
        <v>1</v>
      </c>
      <c r="J36" s="8">
        <v>2.5</v>
      </c>
      <c r="K36" s="8">
        <v>3</v>
      </c>
    </row>
    <row r="37" spans="1:11" ht="15.5" x14ac:dyDescent="0.35">
      <c r="A37" s="7">
        <v>36</v>
      </c>
      <c r="B37" s="7" t="s">
        <v>366</v>
      </c>
      <c r="C37" s="7" t="s">
        <v>97</v>
      </c>
      <c r="D37" s="7" t="s">
        <v>98</v>
      </c>
      <c r="E37" s="8">
        <v>2.8</v>
      </c>
      <c r="F37" s="8">
        <v>3</v>
      </c>
      <c r="G37" s="8">
        <v>3</v>
      </c>
      <c r="H37" s="8">
        <v>4</v>
      </c>
      <c r="I37" s="8">
        <v>1</v>
      </c>
      <c r="J37" s="8">
        <v>2.5</v>
      </c>
      <c r="K37" s="8">
        <v>3</v>
      </c>
    </row>
    <row r="38" spans="1:11" ht="15.5" x14ac:dyDescent="0.35">
      <c r="A38" s="7">
        <v>37</v>
      </c>
      <c r="B38" s="7" t="s">
        <v>372</v>
      </c>
      <c r="C38" s="7" t="s">
        <v>97</v>
      </c>
      <c r="D38" s="7" t="s">
        <v>142</v>
      </c>
      <c r="E38" s="8">
        <v>2.78</v>
      </c>
      <c r="F38" s="8">
        <v>3</v>
      </c>
      <c r="G38" s="8">
        <v>3</v>
      </c>
      <c r="H38" s="8">
        <v>4.5</v>
      </c>
      <c r="I38" s="8">
        <v>1</v>
      </c>
      <c r="J38" s="8">
        <v>3.5</v>
      </c>
      <c r="K38" s="8">
        <v>1</v>
      </c>
    </row>
    <row r="39" spans="1:11" ht="15.5" x14ac:dyDescent="0.35">
      <c r="A39" s="7">
        <v>38</v>
      </c>
      <c r="B39" s="7" t="s">
        <v>378</v>
      </c>
      <c r="C39" s="7" t="s">
        <v>54</v>
      </c>
      <c r="D39" s="7" t="s">
        <v>87</v>
      </c>
      <c r="E39" s="8">
        <v>2.77</v>
      </c>
      <c r="F39" s="8">
        <v>3</v>
      </c>
      <c r="G39" s="8">
        <v>3</v>
      </c>
      <c r="H39" s="8">
        <v>3.8</v>
      </c>
      <c r="I39" s="8">
        <v>1</v>
      </c>
      <c r="J39" s="8">
        <v>2.5</v>
      </c>
      <c r="K39" s="8">
        <v>3</v>
      </c>
    </row>
    <row r="40" spans="1:11" ht="15.5" x14ac:dyDescent="0.35">
      <c r="A40" s="7">
        <v>39</v>
      </c>
      <c r="B40" s="7" t="s">
        <v>387</v>
      </c>
      <c r="C40" s="7" t="s">
        <v>54</v>
      </c>
      <c r="D40" s="7" t="s">
        <v>77</v>
      </c>
      <c r="E40" s="8">
        <v>2.75</v>
      </c>
      <c r="F40" s="8">
        <v>3</v>
      </c>
      <c r="G40" s="8">
        <v>3</v>
      </c>
      <c r="H40" s="8">
        <v>4</v>
      </c>
      <c r="I40" s="8">
        <v>1</v>
      </c>
      <c r="J40" s="8">
        <v>1.5</v>
      </c>
      <c r="K40" s="8">
        <v>3.5</v>
      </c>
    </row>
    <row r="41" spans="1:11" ht="15.5" x14ac:dyDescent="0.35">
      <c r="A41" s="7">
        <v>40</v>
      </c>
      <c r="B41" s="7" t="s">
        <v>396</v>
      </c>
      <c r="C41" s="7" t="s">
        <v>54</v>
      </c>
      <c r="D41" s="7" t="s">
        <v>131</v>
      </c>
      <c r="E41" s="8">
        <v>2.75</v>
      </c>
      <c r="F41" s="8">
        <v>3.5</v>
      </c>
      <c r="G41" s="8">
        <v>2</v>
      </c>
      <c r="H41" s="8">
        <v>4</v>
      </c>
      <c r="I41" s="8">
        <v>1</v>
      </c>
      <c r="J41" s="8">
        <v>2.5</v>
      </c>
      <c r="K41" s="8">
        <v>3</v>
      </c>
    </row>
    <row r="42" spans="1:11" ht="15.5" x14ac:dyDescent="0.35">
      <c r="A42" s="7">
        <v>41</v>
      </c>
      <c r="B42" s="7" t="s">
        <v>405</v>
      </c>
      <c r="C42" s="7" t="s">
        <v>54</v>
      </c>
      <c r="D42" s="7" t="s">
        <v>77</v>
      </c>
      <c r="E42" s="8">
        <v>2.75</v>
      </c>
      <c r="F42" s="8">
        <v>3</v>
      </c>
      <c r="G42" s="8">
        <v>3</v>
      </c>
      <c r="H42" s="8">
        <v>4</v>
      </c>
      <c r="I42" s="8">
        <v>1</v>
      </c>
      <c r="J42" s="8">
        <v>2.5</v>
      </c>
      <c r="K42" s="8">
        <v>2.5</v>
      </c>
    </row>
    <row r="43" spans="1:11" ht="15.5" x14ac:dyDescent="0.35">
      <c r="A43" s="7">
        <v>42</v>
      </c>
      <c r="B43" s="7" t="s">
        <v>413</v>
      </c>
      <c r="C43" s="7" t="s">
        <v>213</v>
      </c>
      <c r="D43" s="7" t="s">
        <v>262</v>
      </c>
      <c r="E43" s="8">
        <v>2.65</v>
      </c>
      <c r="F43" s="8">
        <v>2.5</v>
      </c>
      <c r="G43" s="8">
        <v>2</v>
      </c>
      <c r="H43" s="8">
        <v>4</v>
      </c>
      <c r="I43" s="8">
        <v>1</v>
      </c>
      <c r="J43" s="8">
        <v>2.5</v>
      </c>
      <c r="K43" s="8">
        <v>5</v>
      </c>
    </row>
    <row r="44" spans="1:11" ht="15.5" x14ac:dyDescent="0.35">
      <c r="A44" s="7">
        <v>43</v>
      </c>
      <c r="B44" s="7" t="s">
        <v>422</v>
      </c>
      <c r="C44" s="7" t="s">
        <v>54</v>
      </c>
      <c r="D44" s="7" t="s">
        <v>121</v>
      </c>
      <c r="E44" s="8">
        <v>2.62</v>
      </c>
      <c r="F44" s="8">
        <v>3</v>
      </c>
      <c r="G44" s="8">
        <v>3</v>
      </c>
      <c r="H44" s="8">
        <v>3.5</v>
      </c>
      <c r="I44" s="8">
        <v>1</v>
      </c>
      <c r="J44" s="8">
        <v>2.5</v>
      </c>
      <c r="K44" s="8">
        <v>2</v>
      </c>
    </row>
    <row r="45" spans="1:11" ht="15.5" x14ac:dyDescent="0.35">
      <c r="A45" s="7">
        <v>44</v>
      </c>
      <c r="B45" s="7" t="s">
        <v>430</v>
      </c>
      <c r="C45" s="7" t="s">
        <v>152</v>
      </c>
      <c r="D45" s="7" t="s">
        <v>131</v>
      </c>
      <c r="E45" s="8">
        <v>2.6</v>
      </c>
      <c r="F45" s="8">
        <v>3.5</v>
      </c>
      <c r="G45" s="8">
        <v>1</v>
      </c>
      <c r="H45" s="8">
        <v>3</v>
      </c>
      <c r="I45" s="8">
        <v>1</v>
      </c>
      <c r="J45" s="8">
        <v>2.5</v>
      </c>
      <c r="K45" s="8">
        <v>5</v>
      </c>
    </row>
    <row r="46" spans="1:11" ht="15.5" x14ac:dyDescent="0.35">
      <c r="A46" s="7">
        <v>45</v>
      </c>
      <c r="B46" s="7" t="s">
        <v>440</v>
      </c>
      <c r="C46" s="7" t="s">
        <v>213</v>
      </c>
      <c r="D46" s="7" t="s">
        <v>357</v>
      </c>
      <c r="E46" s="8">
        <v>2.5499999999999998</v>
      </c>
      <c r="F46" s="8">
        <v>2.6</v>
      </c>
      <c r="G46" s="8">
        <v>2</v>
      </c>
      <c r="H46" s="8">
        <v>3.8</v>
      </c>
      <c r="I46" s="8">
        <v>1</v>
      </c>
      <c r="J46" s="8">
        <v>2.5</v>
      </c>
      <c r="K46" s="8">
        <v>4</v>
      </c>
    </row>
    <row r="47" spans="1:11" ht="15.5" x14ac:dyDescent="0.35">
      <c r="A47" s="7">
        <v>46</v>
      </c>
      <c r="B47" s="7" t="s">
        <v>448</v>
      </c>
      <c r="C47" s="7" t="s">
        <v>54</v>
      </c>
      <c r="D47" s="7" t="s">
        <v>121</v>
      </c>
      <c r="E47" s="8">
        <v>2.5299999999999998</v>
      </c>
      <c r="F47" s="8">
        <v>3</v>
      </c>
      <c r="G47" s="8">
        <v>2</v>
      </c>
      <c r="H47" s="8">
        <v>4.2</v>
      </c>
      <c r="I47" s="8">
        <v>1</v>
      </c>
      <c r="J47" s="8">
        <v>2.5</v>
      </c>
      <c r="K47" s="8">
        <v>2</v>
      </c>
    </row>
    <row r="48" spans="1:11" ht="15.5" x14ac:dyDescent="0.35">
      <c r="A48" s="7">
        <v>47</v>
      </c>
      <c r="B48" s="7" t="s">
        <v>456</v>
      </c>
      <c r="C48" s="7" t="s">
        <v>213</v>
      </c>
      <c r="D48" s="7" t="s">
        <v>357</v>
      </c>
      <c r="E48" s="8">
        <v>2.4500000000000002</v>
      </c>
      <c r="F48" s="8">
        <v>2.6</v>
      </c>
      <c r="G48" s="8">
        <v>2</v>
      </c>
      <c r="H48" s="8">
        <v>3.8</v>
      </c>
      <c r="I48" s="8">
        <v>1</v>
      </c>
      <c r="J48" s="8">
        <v>2.5</v>
      </c>
      <c r="K48" s="8">
        <v>3</v>
      </c>
    </row>
    <row r="49" spans="1:11" ht="15.5" x14ac:dyDescent="0.35">
      <c r="A49" s="7">
        <v>48</v>
      </c>
      <c r="B49" s="7" t="s">
        <v>463</v>
      </c>
      <c r="C49" s="7" t="s">
        <v>152</v>
      </c>
      <c r="D49" s="7" t="s">
        <v>204</v>
      </c>
      <c r="E49" s="8">
        <v>2.35</v>
      </c>
      <c r="F49" s="8">
        <v>3.6</v>
      </c>
      <c r="G49" s="8">
        <v>1</v>
      </c>
      <c r="H49" s="8">
        <v>2.5</v>
      </c>
      <c r="I49" s="8">
        <v>1</v>
      </c>
      <c r="J49" s="8">
        <v>2.5</v>
      </c>
      <c r="K49" s="8">
        <v>3</v>
      </c>
    </row>
    <row r="50" spans="1:11" ht="15.5" x14ac:dyDescent="0.35">
      <c r="A50" s="7">
        <v>49</v>
      </c>
      <c r="B50" s="7" t="s">
        <v>472</v>
      </c>
      <c r="C50" s="7" t="s">
        <v>54</v>
      </c>
      <c r="D50" s="7" t="s">
        <v>204</v>
      </c>
      <c r="E50" s="8">
        <v>2.35</v>
      </c>
      <c r="F50" s="8">
        <v>2.6</v>
      </c>
      <c r="G50" s="8">
        <v>2</v>
      </c>
      <c r="H50" s="8">
        <v>3.8</v>
      </c>
      <c r="I50" s="8">
        <v>1</v>
      </c>
      <c r="J50" s="8">
        <v>2.5</v>
      </c>
      <c r="K50" s="8">
        <v>2</v>
      </c>
    </row>
    <row r="51" spans="1:11" ht="15.5" x14ac:dyDescent="0.35">
      <c r="A51" s="7">
        <v>50</v>
      </c>
      <c r="B51" s="7" t="s">
        <v>480</v>
      </c>
      <c r="C51" s="7" t="s">
        <v>152</v>
      </c>
      <c r="D51" s="7" t="s">
        <v>204</v>
      </c>
      <c r="E51" s="8">
        <v>2.35</v>
      </c>
      <c r="F51" s="8">
        <v>3</v>
      </c>
      <c r="G51" s="8">
        <v>1</v>
      </c>
      <c r="H51" s="8">
        <v>3</v>
      </c>
      <c r="I51" s="8">
        <v>1</v>
      </c>
      <c r="J51" s="8">
        <v>2.5</v>
      </c>
      <c r="K51" s="8">
        <v>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1"/>
  <sheetViews>
    <sheetView showGridLines="0" workbookViewId="0">
      <pane ySplit="4" topLeftCell="A5" activePane="bottomLeft" state="frozen"/>
      <selection pane="bottomLeft" activeCell="A42" sqref="A42"/>
    </sheetView>
  </sheetViews>
  <sheetFormatPr defaultRowHeight="14.5" x14ac:dyDescent="0.35"/>
  <cols>
    <col min="1" max="7" width="25.6328125" customWidth="1"/>
    <col min="8" max="8" width="50.6328125" customWidth="1"/>
  </cols>
  <sheetData>
    <row r="1" spans="1:8" ht="15" x14ac:dyDescent="0.35">
      <c r="A1" s="1" t="s">
        <v>489</v>
      </c>
      <c r="B1" s="1" t="s">
        <v>490</v>
      </c>
      <c r="C1" s="1" t="s">
        <v>25</v>
      </c>
      <c r="D1" s="1" t="s">
        <v>24</v>
      </c>
      <c r="E1" s="1" t="s">
        <v>491</v>
      </c>
      <c r="F1" s="1" t="s">
        <v>26</v>
      </c>
      <c r="G1" s="1" t="s">
        <v>27</v>
      </c>
      <c r="H1" s="1" t="s">
        <v>50</v>
      </c>
    </row>
    <row r="2" spans="1:8" ht="31" x14ac:dyDescent="0.35">
      <c r="A2" s="7" t="s">
        <v>19</v>
      </c>
      <c r="B2" s="7">
        <v>1</v>
      </c>
      <c r="C2" s="7" t="s">
        <v>51</v>
      </c>
      <c r="D2" s="7">
        <v>1</v>
      </c>
      <c r="E2" s="8">
        <v>4.3499999999999996</v>
      </c>
      <c r="F2" s="8" t="s">
        <v>52</v>
      </c>
      <c r="G2" s="8" t="s">
        <v>53</v>
      </c>
      <c r="H2" s="8" t="s">
        <v>64</v>
      </c>
    </row>
    <row r="3" spans="1:8" ht="46.5" x14ac:dyDescent="0.35">
      <c r="A3" s="7" t="s">
        <v>19</v>
      </c>
      <c r="B3" s="7">
        <v>2</v>
      </c>
      <c r="C3" s="7" t="s">
        <v>65</v>
      </c>
      <c r="D3" s="7">
        <v>2</v>
      </c>
      <c r="E3" s="8">
        <v>3.95</v>
      </c>
      <c r="F3" s="8" t="s">
        <v>52</v>
      </c>
      <c r="G3" s="8" t="s">
        <v>53</v>
      </c>
      <c r="H3" s="8" t="s">
        <v>74</v>
      </c>
    </row>
    <row r="4" spans="1:8" ht="46.5" x14ac:dyDescent="0.35">
      <c r="A4" s="7" t="s">
        <v>19</v>
      </c>
      <c r="B4" s="7">
        <v>3</v>
      </c>
      <c r="C4" s="7" t="s">
        <v>107</v>
      </c>
      <c r="D4" s="7">
        <v>6</v>
      </c>
      <c r="E4" s="8">
        <v>3.62</v>
      </c>
      <c r="F4" s="8" t="s">
        <v>108</v>
      </c>
      <c r="G4" s="8" t="s">
        <v>109</v>
      </c>
      <c r="H4" s="8" t="s">
        <v>117</v>
      </c>
    </row>
    <row r="5" spans="1:8" ht="62" x14ac:dyDescent="0.35">
      <c r="A5" s="7" t="s">
        <v>19</v>
      </c>
      <c r="B5" s="7">
        <v>4</v>
      </c>
      <c r="C5" s="7" t="s">
        <v>75</v>
      </c>
      <c r="D5" s="7">
        <v>3</v>
      </c>
      <c r="E5" s="8">
        <v>3.5</v>
      </c>
      <c r="F5" s="8" t="s">
        <v>52</v>
      </c>
      <c r="G5" s="8" t="s">
        <v>53</v>
      </c>
      <c r="H5" s="8" t="s">
        <v>85</v>
      </c>
    </row>
    <row r="6" spans="1:8" ht="46.5" x14ac:dyDescent="0.35">
      <c r="A6" s="7" t="s">
        <v>19</v>
      </c>
      <c r="B6" s="7">
        <v>5</v>
      </c>
      <c r="C6" s="7" t="s">
        <v>86</v>
      </c>
      <c r="D6" s="7">
        <v>4</v>
      </c>
      <c r="E6" s="8">
        <v>3.3</v>
      </c>
      <c r="F6" s="8" t="s">
        <v>52</v>
      </c>
      <c r="G6" s="8" t="s">
        <v>53</v>
      </c>
      <c r="H6" s="8" t="s">
        <v>95</v>
      </c>
    </row>
    <row r="7" spans="1:8" ht="31" x14ac:dyDescent="0.35">
      <c r="A7" s="7" t="s">
        <v>20</v>
      </c>
      <c r="B7" s="7">
        <v>1</v>
      </c>
      <c r="C7" s="7" t="s">
        <v>472</v>
      </c>
      <c r="D7" s="7">
        <v>49</v>
      </c>
      <c r="E7" s="8">
        <v>2.35</v>
      </c>
      <c r="F7" s="8" t="s">
        <v>431</v>
      </c>
      <c r="G7" s="8" t="s">
        <v>141</v>
      </c>
      <c r="H7" s="8" t="s">
        <v>479</v>
      </c>
    </row>
    <row r="8" spans="1:8" ht="31" x14ac:dyDescent="0.35">
      <c r="A8" s="7" t="s">
        <v>20</v>
      </c>
      <c r="B8" s="7">
        <v>2</v>
      </c>
      <c r="C8" s="7" t="s">
        <v>480</v>
      </c>
      <c r="D8" s="7">
        <v>50</v>
      </c>
      <c r="E8" s="8">
        <v>2.35</v>
      </c>
      <c r="F8" s="8" t="s">
        <v>431</v>
      </c>
      <c r="G8" s="8" t="s">
        <v>432</v>
      </c>
      <c r="H8" s="8" t="s">
        <v>488</v>
      </c>
    </row>
    <row r="9" spans="1:8" ht="31" x14ac:dyDescent="0.35">
      <c r="A9" s="7" t="s">
        <v>20</v>
      </c>
      <c r="B9" s="7">
        <v>3</v>
      </c>
      <c r="C9" s="7" t="s">
        <v>463</v>
      </c>
      <c r="D9" s="7">
        <v>48</v>
      </c>
      <c r="E9" s="8">
        <v>2.35</v>
      </c>
      <c r="F9" s="8" t="s">
        <v>431</v>
      </c>
      <c r="G9" s="8" t="s">
        <v>432</v>
      </c>
      <c r="H9" s="8" t="s">
        <v>471</v>
      </c>
    </row>
    <row r="10" spans="1:8" ht="77.5" x14ac:dyDescent="0.35">
      <c r="A10" s="7" t="s">
        <v>20</v>
      </c>
      <c r="B10" s="7">
        <v>4</v>
      </c>
      <c r="C10" s="7" t="s">
        <v>456</v>
      </c>
      <c r="D10" s="7">
        <v>47</v>
      </c>
      <c r="E10" s="8">
        <v>2.4500000000000002</v>
      </c>
      <c r="F10" s="8" t="s">
        <v>431</v>
      </c>
      <c r="G10" s="8" t="s">
        <v>141</v>
      </c>
      <c r="H10" s="8" t="s">
        <v>462</v>
      </c>
    </row>
    <row r="11" spans="1:8" ht="62" x14ac:dyDescent="0.35">
      <c r="A11" s="7" t="s">
        <v>20</v>
      </c>
      <c r="B11" s="7">
        <v>5</v>
      </c>
      <c r="C11" s="7" t="s">
        <v>448</v>
      </c>
      <c r="D11" s="7">
        <v>46</v>
      </c>
      <c r="E11" s="8">
        <v>2.5299999999999998</v>
      </c>
      <c r="F11" s="8" t="s">
        <v>431</v>
      </c>
      <c r="G11" s="8" t="s">
        <v>432</v>
      </c>
      <c r="H11" s="8" t="s">
        <v>455</v>
      </c>
    </row>
    <row r="12" spans="1:8" ht="31" x14ac:dyDescent="0.35">
      <c r="A12" s="7" t="s">
        <v>492</v>
      </c>
      <c r="B12" s="7">
        <v>1</v>
      </c>
      <c r="C12" s="7" t="s">
        <v>51</v>
      </c>
      <c r="D12" s="7">
        <v>1</v>
      </c>
      <c r="E12" s="8">
        <v>5</v>
      </c>
      <c r="F12" s="8" t="s">
        <v>52</v>
      </c>
      <c r="G12" s="8" t="s">
        <v>53</v>
      </c>
      <c r="H12" s="8" t="s">
        <v>64</v>
      </c>
    </row>
    <row r="13" spans="1:8" ht="46.5" x14ac:dyDescent="0.35">
      <c r="A13" s="7" t="s">
        <v>492</v>
      </c>
      <c r="B13" s="7">
        <v>2</v>
      </c>
      <c r="C13" s="7" t="s">
        <v>65</v>
      </c>
      <c r="D13" s="7">
        <v>2</v>
      </c>
      <c r="E13" s="8">
        <v>4</v>
      </c>
      <c r="F13" s="8" t="s">
        <v>52</v>
      </c>
      <c r="G13" s="8" t="s">
        <v>53</v>
      </c>
      <c r="H13" s="8" t="s">
        <v>74</v>
      </c>
    </row>
    <row r="14" spans="1:8" ht="46.5" x14ac:dyDescent="0.35">
      <c r="A14" s="7" t="s">
        <v>492</v>
      </c>
      <c r="B14" s="7">
        <v>3</v>
      </c>
      <c r="C14" s="7" t="s">
        <v>340</v>
      </c>
      <c r="D14" s="7">
        <v>33</v>
      </c>
      <c r="E14" s="8">
        <v>3.9</v>
      </c>
      <c r="F14" s="8" t="s">
        <v>119</v>
      </c>
      <c r="G14" s="8" t="s">
        <v>120</v>
      </c>
      <c r="H14" s="8" t="s">
        <v>347</v>
      </c>
    </row>
    <row r="15" spans="1:8" ht="62" x14ac:dyDescent="0.35">
      <c r="A15" s="7" t="s">
        <v>492</v>
      </c>
      <c r="B15" s="7">
        <v>4</v>
      </c>
      <c r="C15" s="7" t="s">
        <v>244</v>
      </c>
      <c r="D15" s="7">
        <v>21</v>
      </c>
      <c r="E15" s="8">
        <v>3.9</v>
      </c>
      <c r="F15" s="8" t="s">
        <v>119</v>
      </c>
      <c r="G15" s="8" t="s">
        <v>120</v>
      </c>
      <c r="H15" s="8" t="s">
        <v>251</v>
      </c>
    </row>
    <row r="16" spans="1:8" ht="31" x14ac:dyDescent="0.35">
      <c r="A16" s="7" t="s">
        <v>492</v>
      </c>
      <c r="B16" s="7">
        <v>5</v>
      </c>
      <c r="C16" s="7" t="s">
        <v>161</v>
      </c>
      <c r="D16" s="7">
        <v>11</v>
      </c>
      <c r="E16" s="8">
        <v>3.6</v>
      </c>
      <c r="F16" s="8" t="s">
        <v>119</v>
      </c>
      <c r="G16" s="8" t="s">
        <v>120</v>
      </c>
      <c r="H16" s="8" t="s">
        <v>169</v>
      </c>
    </row>
    <row r="17" spans="1:8" ht="46.5" x14ac:dyDescent="0.35">
      <c r="A17" s="7" t="s">
        <v>493</v>
      </c>
      <c r="B17" s="7">
        <v>1</v>
      </c>
      <c r="C17" s="7" t="s">
        <v>96</v>
      </c>
      <c r="D17" s="7">
        <v>5</v>
      </c>
      <c r="E17" s="8">
        <v>1</v>
      </c>
      <c r="F17" s="8" t="s">
        <v>52</v>
      </c>
      <c r="G17" s="8" t="s">
        <v>53</v>
      </c>
      <c r="H17" s="8" t="s">
        <v>106</v>
      </c>
    </row>
    <row r="18" spans="1:8" ht="46.5" x14ac:dyDescent="0.35">
      <c r="A18" s="7" t="s">
        <v>493</v>
      </c>
      <c r="B18" s="7">
        <v>2</v>
      </c>
      <c r="C18" s="7" t="s">
        <v>212</v>
      </c>
      <c r="D18" s="7">
        <v>17</v>
      </c>
      <c r="E18" s="8">
        <v>2.1</v>
      </c>
      <c r="F18" s="8" t="s">
        <v>119</v>
      </c>
      <c r="G18" s="8" t="s">
        <v>141</v>
      </c>
      <c r="H18" s="8" t="s">
        <v>221</v>
      </c>
    </row>
    <row r="19" spans="1:8" ht="62" x14ac:dyDescent="0.35">
      <c r="A19" s="7" t="s">
        <v>493</v>
      </c>
      <c r="B19" s="7">
        <v>3</v>
      </c>
      <c r="C19" s="7" t="s">
        <v>261</v>
      </c>
      <c r="D19" s="7">
        <v>23</v>
      </c>
      <c r="E19" s="8">
        <v>2.1</v>
      </c>
      <c r="F19" s="8" t="s">
        <v>119</v>
      </c>
      <c r="G19" s="8" t="s">
        <v>141</v>
      </c>
      <c r="H19" s="8" t="s">
        <v>269</v>
      </c>
    </row>
    <row r="20" spans="1:8" ht="31" x14ac:dyDescent="0.35">
      <c r="A20" s="7" t="s">
        <v>493</v>
      </c>
      <c r="B20" s="7">
        <v>4</v>
      </c>
      <c r="C20" s="7" t="s">
        <v>413</v>
      </c>
      <c r="D20" s="7">
        <v>42</v>
      </c>
      <c r="E20" s="8">
        <v>2.5</v>
      </c>
      <c r="F20" s="8" t="s">
        <v>119</v>
      </c>
      <c r="G20" s="8" t="s">
        <v>120</v>
      </c>
      <c r="H20" s="8" t="s">
        <v>421</v>
      </c>
    </row>
    <row r="21" spans="1:8" ht="62" x14ac:dyDescent="0.35">
      <c r="A21" s="7" t="s">
        <v>493</v>
      </c>
      <c r="B21" s="7">
        <v>5</v>
      </c>
      <c r="C21" s="7" t="s">
        <v>293</v>
      </c>
      <c r="D21" s="7">
        <v>27</v>
      </c>
      <c r="E21" s="8">
        <v>2.6</v>
      </c>
      <c r="F21" s="8" t="s">
        <v>119</v>
      </c>
      <c r="G21" s="8" t="s">
        <v>120</v>
      </c>
      <c r="H21" s="8" t="s">
        <v>300</v>
      </c>
    </row>
    <row r="22" spans="1:8" ht="31" x14ac:dyDescent="0.35">
      <c r="A22" s="7" t="s">
        <v>494</v>
      </c>
      <c r="B22" s="7">
        <v>1</v>
      </c>
      <c r="C22" s="7" t="s">
        <v>51</v>
      </c>
      <c r="D22" s="7">
        <v>1</v>
      </c>
      <c r="E22" s="8">
        <v>5</v>
      </c>
      <c r="F22" s="8" t="s">
        <v>52</v>
      </c>
      <c r="G22" s="8" t="s">
        <v>53</v>
      </c>
      <c r="H22" s="8" t="s">
        <v>64</v>
      </c>
    </row>
    <row r="23" spans="1:8" ht="62" x14ac:dyDescent="0.35">
      <c r="A23" s="7" t="s">
        <v>494</v>
      </c>
      <c r="B23" s="7">
        <v>2</v>
      </c>
      <c r="C23" s="7" t="s">
        <v>75</v>
      </c>
      <c r="D23" s="7">
        <v>3</v>
      </c>
      <c r="E23" s="8">
        <v>5</v>
      </c>
      <c r="F23" s="8" t="s">
        <v>52</v>
      </c>
      <c r="G23" s="8" t="s">
        <v>53</v>
      </c>
      <c r="H23" s="8" t="s">
        <v>85</v>
      </c>
    </row>
    <row r="24" spans="1:8" ht="46.5" x14ac:dyDescent="0.35">
      <c r="A24" s="7" t="s">
        <v>494</v>
      </c>
      <c r="B24" s="7">
        <v>3</v>
      </c>
      <c r="C24" s="7" t="s">
        <v>194</v>
      </c>
      <c r="D24" s="7">
        <v>15</v>
      </c>
      <c r="E24" s="8">
        <v>5</v>
      </c>
      <c r="F24" s="8" t="s">
        <v>119</v>
      </c>
      <c r="G24" s="8" t="s">
        <v>120</v>
      </c>
      <c r="H24" s="8" t="s">
        <v>202</v>
      </c>
    </row>
    <row r="25" spans="1:8" ht="46.5" x14ac:dyDescent="0.35">
      <c r="A25" s="7" t="s">
        <v>494</v>
      </c>
      <c r="B25" s="7">
        <v>4</v>
      </c>
      <c r="C25" s="7" t="s">
        <v>107</v>
      </c>
      <c r="D25" s="7">
        <v>6</v>
      </c>
      <c r="E25" s="8">
        <v>5</v>
      </c>
      <c r="F25" s="8" t="s">
        <v>108</v>
      </c>
      <c r="G25" s="8" t="s">
        <v>109</v>
      </c>
      <c r="H25" s="8" t="s">
        <v>117</v>
      </c>
    </row>
    <row r="26" spans="1:8" ht="46.5" x14ac:dyDescent="0.35">
      <c r="A26" s="7" t="s">
        <v>494</v>
      </c>
      <c r="B26" s="7">
        <v>5</v>
      </c>
      <c r="C26" s="7" t="s">
        <v>151</v>
      </c>
      <c r="D26" s="7">
        <v>10</v>
      </c>
      <c r="E26" s="8">
        <v>5</v>
      </c>
      <c r="F26" s="8" t="s">
        <v>119</v>
      </c>
      <c r="G26" s="8" t="s">
        <v>141</v>
      </c>
      <c r="H26" s="8" t="s">
        <v>160</v>
      </c>
    </row>
    <row r="27" spans="1:8" ht="62" x14ac:dyDescent="0.35">
      <c r="A27" s="7" t="s">
        <v>495</v>
      </c>
      <c r="B27" s="7">
        <v>1</v>
      </c>
      <c r="C27" s="7" t="s">
        <v>430</v>
      </c>
      <c r="D27" s="7">
        <v>44</v>
      </c>
      <c r="E27" s="8">
        <v>1</v>
      </c>
      <c r="F27" s="8" t="s">
        <v>431</v>
      </c>
      <c r="G27" s="8" t="s">
        <v>432</v>
      </c>
      <c r="H27" s="8" t="s">
        <v>439</v>
      </c>
    </row>
    <row r="28" spans="1:8" ht="31" x14ac:dyDescent="0.35">
      <c r="A28" s="7" t="s">
        <v>495</v>
      </c>
      <c r="B28" s="7">
        <v>2</v>
      </c>
      <c r="C28" s="7" t="s">
        <v>480</v>
      </c>
      <c r="D28" s="7">
        <v>50</v>
      </c>
      <c r="E28" s="8">
        <v>1</v>
      </c>
      <c r="F28" s="8" t="s">
        <v>431</v>
      </c>
      <c r="G28" s="8" t="s">
        <v>432</v>
      </c>
      <c r="H28" s="8" t="s">
        <v>488</v>
      </c>
    </row>
    <row r="29" spans="1:8" ht="31" x14ac:dyDescent="0.35">
      <c r="A29" s="7" t="s">
        <v>495</v>
      </c>
      <c r="B29" s="7">
        <v>3</v>
      </c>
      <c r="C29" s="7" t="s">
        <v>463</v>
      </c>
      <c r="D29" s="7">
        <v>48</v>
      </c>
      <c r="E29" s="8">
        <v>1</v>
      </c>
      <c r="F29" s="8" t="s">
        <v>431</v>
      </c>
      <c r="G29" s="8" t="s">
        <v>432</v>
      </c>
      <c r="H29" s="8" t="s">
        <v>471</v>
      </c>
    </row>
    <row r="30" spans="1:8" ht="46.5" x14ac:dyDescent="0.35">
      <c r="A30" s="7" t="s">
        <v>495</v>
      </c>
      <c r="B30" s="7">
        <v>4</v>
      </c>
      <c r="C30" s="7" t="s">
        <v>65</v>
      </c>
      <c r="D30" s="7">
        <v>2</v>
      </c>
      <c r="E30" s="8">
        <v>2</v>
      </c>
      <c r="F30" s="8" t="s">
        <v>52</v>
      </c>
      <c r="G30" s="8" t="s">
        <v>53</v>
      </c>
      <c r="H30" s="8" t="s">
        <v>74</v>
      </c>
    </row>
    <row r="31" spans="1:8" ht="46.5" x14ac:dyDescent="0.35">
      <c r="A31" s="7" t="s">
        <v>495</v>
      </c>
      <c r="B31" s="7">
        <v>5</v>
      </c>
      <c r="C31" s="7" t="s">
        <v>340</v>
      </c>
      <c r="D31" s="7">
        <v>33</v>
      </c>
      <c r="E31" s="8">
        <v>2</v>
      </c>
      <c r="F31" s="8" t="s">
        <v>119</v>
      </c>
      <c r="G31" s="8" t="s">
        <v>120</v>
      </c>
      <c r="H31" s="8" t="s">
        <v>347</v>
      </c>
    </row>
    <row r="32" spans="1:8" ht="46.5" x14ac:dyDescent="0.35">
      <c r="A32" s="7" t="s">
        <v>496</v>
      </c>
      <c r="B32" s="7">
        <v>1</v>
      </c>
      <c r="C32" s="7" t="s">
        <v>65</v>
      </c>
      <c r="D32" s="7">
        <v>2</v>
      </c>
      <c r="E32" s="8">
        <v>5</v>
      </c>
      <c r="F32" s="8" t="s">
        <v>52</v>
      </c>
      <c r="G32" s="8" t="s">
        <v>53</v>
      </c>
      <c r="H32" s="8" t="s">
        <v>74</v>
      </c>
    </row>
    <row r="33" spans="1:8" ht="46.5" x14ac:dyDescent="0.35">
      <c r="A33" s="7" t="s">
        <v>496</v>
      </c>
      <c r="B33" s="7">
        <v>2</v>
      </c>
      <c r="C33" s="7" t="s">
        <v>86</v>
      </c>
      <c r="D33" s="7">
        <v>4</v>
      </c>
      <c r="E33" s="8">
        <v>5</v>
      </c>
      <c r="F33" s="8" t="s">
        <v>52</v>
      </c>
      <c r="G33" s="8" t="s">
        <v>53</v>
      </c>
      <c r="H33" s="8" t="s">
        <v>95</v>
      </c>
    </row>
    <row r="34" spans="1:8" ht="31" x14ac:dyDescent="0.35">
      <c r="A34" s="7" t="s">
        <v>496</v>
      </c>
      <c r="B34" s="7">
        <v>3</v>
      </c>
      <c r="C34" s="7" t="s">
        <v>118</v>
      </c>
      <c r="D34" s="7">
        <v>7</v>
      </c>
      <c r="E34" s="8">
        <v>4.8</v>
      </c>
      <c r="F34" s="8" t="s">
        <v>119</v>
      </c>
      <c r="G34" s="8" t="s">
        <v>120</v>
      </c>
      <c r="H34" s="8" t="s">
        <v>129</v>
      </c>
    </row>
    <row r="35" spans="1:8" ht="46.5" x14ac:dyDescent="0.35">
      <c r="A35" s="7" t="s">
        <v>496</v>
      </c>
      <c r="B35" s="7">
        <v>4</v>
      </c>
      <c r="C35" s="7" t="s">
        <v>203</v>
      </c>
      <c r="D35" s="7">
        <v>16</v>
      </c>
      <c r="E35" s="8">
        <v>4.5</v>
      </c>
      <c r="F35" s="8" t="s">
        <v>119</v>
      </c>
      <c r="G35" s="8" t="s">
        <v>141</v>
      </c>
      <c r="H35" s="8" t="s">
        <v>211</v>
      </c>
    </row>
    <row r="36" spans="1:8" ht="46.5" x14ac:dyDescent="0.35">
      <c r="A36" s="7" t="s">
        <v>496</v>
      </c>
      <c r="B36" s="7">
        <v>5</v>
      </c>
      <c r="C36" s="7" t="s">
        <v>107</v>
      </c>
      <c r="D36" s="7">
        <v>6</v>
      </c>
      <c r="E36" s="8">
        <v>4.5</v>
      </c>
      <c r="F36" s="8" t="s">
        <v>108</v>
      </c>
      <c r="G36" s="8" t="s">
        <v>109</v>
      </c>
      <c r="H36" s="8" t="s">
        <v>117</v>
      </c>
    </row>
    <row r="37" spans="1:8" ht="46.5" x14ac:dyDescent="0.35">
      <c r="A37" s="7" t="s">
        <v>497</v>
      </c>
      <c r="B37" s="7">
        <v>1</v>
      </c>
      <c r="C37" s="7" t="s">
        <v>96</v>
      </c>
      <c r="D37" s="7">
        <v>5</v>
      </c>
      <c r="E37" s="8">
        <v>1</v>
      </c>
      <c r="F37" s="8" t="s">
        <v>52</v>
      </c>
      <c r="G37" s="8" t="s">
        <v>53</v>
      </c>
      <c r="H37" s="8" t="s">
        <v>106</v>
      </c>
    </row>
    <row r="38" spans="1:8" ht="31" x14ac:dyDescent="0.35">
      <c r="A38" s="7" t="s">
        <v>497</v>
      </c>
      <c r="B38" s="7">
        <v>2</v>
      </c>
      <c r="C38" s="7" t="s">
        <v>463</v>
      </c>
      <c r="D38" s="7">
        <v>48</v>
      </c>
      <c r="E38" s="8">
        <v>2.5</v>
      </c>
      <c r="F38" s="8" t="s">
        <v>431</v>
      </c>
      <c r="G38" s="8" t="s">
        <v>432</v>
      </c>
      <c r="H38" s="8" t="s">
        <v>471</v>
      </c>
    </row>
    <row r="39" spans="1:8" ht="62" x14ac:dyDescent="0.35">
      <c r="A39" s="7" t="s">
        <v>497</v>
      </c>
      <c r="B39" s="7">
        <v>3</v>
      </c>
      <c r="C39" s="7" t="s">
        <v>430</v>
      </c>
      <c r="D39" s="7">
        <v>44</v>
      </c>
      <c r="E39" s="8">
        <v>3</v>
      </c>
      <c r="F39" s="8" t="s">
        <v>431</v>
      </c>
      <c r="G39" s="8" t="s">
        <v>432</v>
      </c>
      <c r="H39" s="8" t="s">
        <v>439</v>
      </c>
    </row>
    <row r="40" spans="1:8" ht="31" x14ac:dyDescent="0.35">
      <c r="A40" s="7" t="s">
        <v>497</v>
      </c>
      <c r="B40" s="7">
        <v>4</v>
      </c>
      <c r="C40" s="7" t="s">
        <v>480</v>
      </c>
      <c r="D40" s="7">
        <v>50</v>
      </c>
      <c r="E40" s="8">
        <v>3</v>
      </c>
      <c r="F40" s="8" t="s">
        <v>431</v>
      </c>
      <c r="G40" s="8" t="s">
        <v>432</v>
      </c>
      <c r="H40" s="8" t="s">
        <v>488</v>
      </c>
    </row>
    <row r="41" spans="1:8" ht="31" x14ac:dyDescent="0.35">
      <c r="A41" s="7" t="s">
        <v>497</v>
      </c>
      <c r="B41" s="7">
        <v>5</v>
      </c>
      <c r="C41" s="7" t="s">
        <v>422</v>
      </c>
      <c r="D41" s="7">
        <v>43</v>
      </c>
      <c r="E41" s="8">
        <v>3.5</v>
      </c>
      <c r="F41" s="8" t="s">
        <v>119</v>
      </c>
      <c r="G41" s="8" t="s">
        <v>120</v>
      </c>
      <c r="H41" s="8" t="s">
        <v>429</v>
      </c>
    </row>
    <row r="42" spans="1:8" ht="46.5" x14ac:dyDescent="0.35">
      <c r="A42" s="7" t="s">
        <v>733</v>
      </c>
      <c r="B42" s="7">
        <v>1</v>
      </c>
      <c r="C42" s="7" t="s">
        <v>96</v>
      </c>
      <c r="D42" s="7">
        <v>5</v>
      </c>
      <c r="E42" s="8">
        <v>5</v>
      </c>
      <c r="F42" s="8" t="s">
        <v>52</v>
      </c>
      <c r="G42" s="8" t="s">
        <v>53</v>
      </c>
      <c r="H42" s="8" t="s">
        <v>106</v>
      </c>
    </row>
    <row r="43" spans="1:8" ht="46.5" x14ac:dyDescent="0.35">
      <c r="A43" s="7" t="s">
        <v>733</v>
      </c>
      <c r="B43" s="7">
        <v>2</v>
      </c>
      <c r="C43" s="7" t="s">
        <v>65</v>
      </c>
      <c r="D43" s="7">
        <v>2</v>
      </c>
      <c r="E43" s="8">
        <v>4</v>
      </c>
      <c r="F43" s="8" t="s">
        <v>52</v>
      </c>
      <c r="G43" s="8" t="s">
        <v>53</v>
      </c>
      <c r="H43" s="8" t="s">
        <v>74</v>
      </c>
    </row>
    <row r="44" spans="1:8" ht="31" x14ac:dyDescent="0.35">
      <c r="A44" s="7" t="s">
        <v>733</v>
      </c>
      <c r="B44" s="7">
        <v>3</v>
      </c>
      <c r="C44" s="7" t="s">
        <v>51</v>
      </c>
      <c r="D44" s="7">
        <v>1</v>
      </c>
      <c r="E44" s="8">
        <v>3</v>
      </c>
      <c r="F44" s="8" t="s">
        <v>52</v>
      </c>
      <c r="G44" s="8" t="s">
        <v>53</v>
      </c>
      <c r="H44" s="8" t="s">
        <v>64</v>
      </c>
    </row>
    <row r="45" spans="1:8" ht="46.5" x14ac:dyDescent="0.35">
      <c r="A45" s="7" t="s">
        <v>733</v>
      </c>
      <c r="B45" s="7">
        <v>4</v>
      </c>
      <c r="C45" s="7" t="s">
        <v>86</v>
      </c>
      <c r="D45" s="7">
        <v>4</v>
      </c>
      <c r="E45" s="8">
        <v>3</v>
      </c>
      <c r="F45" s="8" t="s">
        <v>52</v>
      </c>
      <c r="G45" s="8" t="s">
        <v>53</v>
      </c>
      <c r="H45" s="8" t="s">
        <v>95</v>
      </c>
    </row>
    <row r="46" spans="1:8" ht="62" x14ac:dyDescent="0.35">
      <c r="A46" s="7" t="s">
        <v>733</v>
      </c>
      <c r="B46" s="7">
        <v>5</v>
      </c>
      <c r="C46" s="7" t="s">
        <v>75</v>
      </c>
      <c r="D46" s="7">
        <v>3</v>
      </c>
      <c r="E46" s="8">
        <v>2</v>
      </c>
      <c r="F46" s="8" t="s">
        <v>52</v>
      </c>
      <c r="G46" s="8" t="s">
        <v>53</v>
      </c>
      <c r="H46" s="8" t="s">
        <v>85</v>
      </c>
    </row>
    <row r="47" spans="1:8" ht="31" x14ac:dyDescent="0.35">
      <c r="A47" s="7" t="s">
        <v>734</v>
      </c>
      <c r="B47" s="7">
        <v>1</v>
      </c>
      <c r="C47" s="7" t="s">
        <v>118</v>
      </c>
      <c r="D47" s="7">
        <v>7</v>
      </c>
      <c r="E47" s="8">
        <v>1</v>
      </c>
      <c r="F47" s="8" t="s">
        <v>119</v>
      </c>
      <c r="G47" s="8" t="s">
        <v>120</v>
      </c>
      <c r="H47" s="8" t="s">
        <v>129</v>
      </c>
    </row>
    <row r="48" spans="1:8" ht="31" x14ac:dyDescent="0.35">
      <c r="A48" s="7" t="s">
        <v>734</v>
      </c>
      <c r="B48" s="7">
        <v>2</v>
      </c>
      <c r="C48" s="7" t="s">
        <v>130</v>
      </c>
      <c r="D48" s="7">
        <v>8</v>
      </c>
      <c r="E48" s="8">
        <v>1</v>
      </c>
      <c r="F48" s="8" t="s">
        <v>119</v>
      </c>
      <c r="G48" s="8" t="s">
        <v>120</v>
      </c>
      <c r="H48" s="8" t="s">
        <v>139</v>
      </c>
    </row>
    <row r="49" spans="1:8" ht="46.5" x14ac:dyDescent="0.35">
      <c r="A49" s="7" t="s">
        <v>734</v>
      </c>
      <c r="B49" s="7">
        <v>3</v>
      </c>
      <c r="C49" s="7" t="s">
        <v>107</v>
      </c>
      <c r="D49" s="7">
        <v>6</v>
      </c>
      <c r="E49" s="8">
        <v>1</v>
      </c>
      <c r="F49" s="8" t="s">
        <v>108</v>
      </c>
      <c r="G49" s="8" t="s">
        <v>109</v>
      </c>
      <c r="H49" s="8" t="s">
        <v>117</v>
      </c>
    </row>
    <row r="50" spans="1:8" ht="46.5" x14ac:dyDescent="0.35">
      <c r="A50" s="7" t="s">
        <v>734</v>
      </c>
      <c r="B50" s="7">
        <v>4</v>
      </c>
      <c r="C50" s="7" t="s">
        <v>203</v>
      </c>
      <c r="D50" s="7">
        <v>16</v>
      </c>
      <c r="E50" s="8">
        <v>1</v>
      </c>
      <c r="F50" s="8" t="s">
        <v>119</v>
      </c>
      <c r="G50" s="8" t="s">
        <v>141</v>
      </c>
      <c r="H50" s="8" t="s">
        <v>211</v>
      </c>
    </row>
    <row r="51" spans="1:8" ht="46.5" x14ac:dyDescent="0.35">
      <c r="A51" s="7" t="s">
        <v>734</v>
      </c>
      <c r="B51" s="7">
        <v>5</v>
      </c>
      <c r="C51" s="7" t="s">
        <v>179</v>
      </c>
      <c r="D51" s="7">
        <v>13</v>
      </c>
      <c r="E51" s="8">
        <v>1</v>
      </c>
      <c r="F51" s="8" t="s">
        <v>119</v>
      </c>
      <c r="G51" s="8" t="s">
        <v>120</v>
      </c>
      <c r="H51" s="8" t="s">
        <v>187</v>
      </c>
    </row>
    <row r="52" spans="1:8" ht="46.5" x14ac:dyDescent="0.35">
      <c r="A52" s="7" t="s">
        <v>498</v>
      </c>
      <c r="B52" s="7">
        <v>1</v>
      </c>
      <c r="C52" s="7" t="s">
        <v>65</v>
      </c>
      <c r="D52" s="7">
        <v>2</v>
      </c>
      <c r="E52" s="8">
        <v>5</v>
      </c>
      <c r="F52" s="8" t="s">
        <v>52</v>
      </c>
      <c r="G52" s="8" t="s">
        <v>53</v>
      </c>
      <c r="H52" s="8" t="s">
        <v>74</v>
      </c>
    </row>
    <row r="53" spans="1:8" ht="62" x14ac:dyDescent="0.35">
      <c r="A53" s="7" t="s">
        <v>498</v>
      </c>
      <c r="B53" s="7">
        <v>2</v>
      </c>
      <c r="C53" s="7" t="s">
        <v>75</v>
      </c>
      <c r="D53" s="7">
        <v>3</v>
      </c>
      <c r="E53" s="8">
        <v>5</v>
      </c>
      <c r="F53" s="8" t="s">
        <v>52</v>
      </c>
      <c r="G53" s="8" t="s">
        <v>53</v>
      </c>
      <c r="H53" s="8" t="s">
        <v>85</v>
      </c>
    </row>
    <row r="54" spans="1:8" ht="31" x14ac:dyDescent="0.35">
      <c r="A54" s="7" t="s">
        <v>498</v>
      </c>
      <c r="B54" s="7">
        <v>3</v>
      </c>
      <c r="C54" s="7" t="s">
        <v>51</v>
      </c>
      <c r="D54" s="7">
        <v>1</v>
      </c>
      <c r="E54" s="8">
        <v>4</v>
      </c>
      <c r="F54" s="8" t="s">
        <v>52</v>
      </c>
      <c r="G54" s="8" t="s">
        <v>53</v>
      </c>
      <c r="H54" s="8" t="s">
        <v>64</v>
      </c>
    </row>
    <row r="55" spans="1:8" ht="46.5" x14ac:dyDescent="0.35">
      <c r="A55" s="7" t="s">
        <v>498</v>
      </c>
      <c r="B55" s="7">
        <v>4</v>
      </c>
      <c r="C55" s="7" t="s">
        <v>107</v>
      </c>
      <c r="D55" s="7">
        <v>6</v>
      </c>
      <c r="E55" s="8">
        <v>3.5</v>
      </c>
      <c r="F55" s="8" t="s">
        <v>108</v>
      </c>
      <c r="G55" s="8" t="s">
        <v>109</v>
      </c>
      <c r="H55" s="8" t="s">
        <v>117</v>
      </c>
    </row>
    <row r="56" spans="1:8" ht="31" x14ac:dyDescent="0.35">
      <c r="A56" s="7" t="s">
        <v>498</v>
      </c>
      <c r="B56" s="7">
        <v>5</v>
      </c>
      <c r="C56" s="7" t="s">
        <v>140</v>
      </c>
      <c r="D56" s="7">
        <v>9</v>
      </c>
      <c r="E56" s="8">
        <v>3.5</v>
      </c>
      <c r="F56" s="8" t="s">
        <v>119</v>
      </c>
      <c r="G56" s="8" t="s">
        <v>141</v>
      </c>
      <c r="H56" s="8" t="s">
        <v>150</v>
      </c>
    </row>
    <row r="57" spans="1:8" ht="31" x14ac:dyDescent="0.35">
      <c r="A57" s="7" t="s">
        <v>499</v>
      </c>
      <c r="B57" s="7">
        <v>1</v>
      </c>
      <c r="C57" s="7" t="s">
        <v>387</v>
      </c>
      <c r="D57" s="7">
        <v>39</v>
      </c>
      <c r="E57" s="8">
        <v>1.5</v>
      </c>
      <c r="F57" s="8" t="s">
        <v>119</v>
      </c>
      <c r="G57" s="8" t="s">
        <v>120</v>
      </c>
      <c r="H57" s="8" t="s">
        <v>395</v>
      </c>
    </row>
    <row r="58" spans="1:8" ht="31" x14ac:dyDescent="0.35">
      <c r="A58" s="7" t="s">
        <v>499</v>
      </c>
      <c r="B58" s="7">
        <v>2</v>
      </c>
      <c r="C58" s="7" t="s">
        <v>118</v>
      </c>
      <c r="D58" s="7">
        <v>7</v>
      </c>
      <c r="E58" s="8">
        <v>2.5</v>
      </c>
      <c r="F58" s="8" t="s">
        <v>119</v>
      </c>
      <c r="G58" s="8" t="s">
        <v>120</v>
      </c>
      <c r="H58" s="8" t="s">
        <v>129</v>
      </c>
    </row>
    <row r="59" spans="1:8" ht="46.5" x14ac:dyDescent="0.35">
      <c r="A59" s="7" t="s">
        <v>499</v>
      </c>
      <c r="B59" s="7">
        <v>3</v>
      </c>
      <c r="C59" s="7" t="s">
        <v>188</v>
      </c>
      <c r="D59" s="7">
        <v>14</v>
      </c>
      <c r="E59" s="8">
        <v>2.5</v>
      </c>
      <c r="F59" s="8" t="s">
        <v>119</v>
      </c>
      <c r="G59" s="8" t="s">
        <v>141</v>
      </c>
      <c r="H59" s="8" t="s">
        <v>193</v>
      </c>
    </row>
    <row r="60" spans="1:8" ht="31" x14ac:dyDescent="0.35">
      <c r="A60" s="7" t="s">
        <v>499</v>
      </c>
      <c r="B60" s="7">
        <v>4</v>
      </c>
      <c r="C60" s="7" t="s">
        <v>130</v>
      </c>
      <c r="D60" s="7">
        <v>8</v>
      </c>
      <c r="E60" s="8">
        <v>2.5</v>
      </c>
      <c r="F60" s="8" t="s">
        <v>119</v>
      </c>
      <c r="G60" s="8" t="s">
        <v>120</v>
      </c>
      <c r="H60" s="8" t="s">
        <v>139</v>
      </c>
    </row>
    <row r="61" spans="1:8" ht="46.5" x14ac:dyDescent="0.35">
      <c r="A61" s="7" t="s">
        <v>499</v>
      </c>
      <c r="B61" s="7">
        <v>5</v>
      </c>
      <c r="C61" s="7" t="s">
        <v>179</v>
      </c>
      <c r="D61" s="7">
        <v>13</v>
      </c>
      <c r="E61" s="8">
        <v>2.5</v>
      </c>
      <c r="F61" s="8" t="s">
        <v>119</v>
      </c>
      <c r="G61" s="8" t="s">
        <v>120</v>
      </c>
      <c r="H61" s="8" t="s">
        <v>187</v>
      </c>
    </row>
    <row r="62" spans="1:8" ht="46.5" x14ac:dyDescent="0.35">
      <c r="A62" s="7" t="s">
        <v>500</v>
      </c>
      <c r="B62" s="7">
        <v>1</v>
      </c>
      <c r="C62" s="7" t="s">
        <v>65</v>
      </c>
      <c r="D62" s="7">
        <v>2</v>
      </c>
      <c r="E62" s="8">
        <v>5</v>
      </c>
      <c r="F62" s="8" t="s">
        <v>52</v>
      </c>
      <c r="G62" s="8" t="s">
        <v>53</v>
      </c>
      <c r="H62" s="8" t="s">
        <v>74</v>
      </c>
    </row>
    <row r="63" spans="1:8" ht="46.5" x14ac:dyDescent="0.35">
      <c r="A63" s="7" t="s">
        <v>500</v>
      </c>
      <c r="B63" s="7">
        <v>2</v>
      </c>
      <c r="C63" s="7" t="s">
        <v>96</v>
      </c>
      <c r="D63" s="7">
        <v>5</v>
      </c>
      <c r="E63" s="8">
        <v>5</v>
      </c>
      <c r="F63" s="8" t="s">
        <v>52</v>
      </c>
      <c r="G63" s="8" t="s">
        <v>53</v>
      </c>
      <c r="H63" s="8" t="s">
        <v>106</v>
      </c>
    </row>
    <row r="64" spans="1:8" ht="46.5" x14ac:dyDescent="0.35">
      <c r="A64" s="7" t="s">
        <v>500</v>
      </c>
      <c r="B64" s="7">
        <v>3</v>
      </c>
      <c r="C64" s="7" t="s">
        <v>222</v>
      </c>
      <c r="D64" s="7">
        <v>18</v>
      </c>
      <c r="E64" s="8">
        <v>5</v>
      </c>
      <c r="F64" s="8" t="s">
        <v>119</v>
      </c>
      <c r="G64" s="8" t="s">
        <v>120</v>
      </c>
      <c r="H64" s="8" t="s">
        <v>230</v>
      </c>
    </row>
    <row r="65" spans="1:8" ht="31" x14ac:dyDescent="0.35">
      <c r="A65" s="7" t="s">
        <v>500</v>
      </c>
      <c r="B65" s="7">
        <v>4</v>
      </c>
      <c r="C65" s="7" t="s">
        <v>140</v>
      </c>
      <c r="D65" s="7">
        <v>9</v>
      </c>
      <c r="E65" s="8">
        <v>5</v>
      </c>
      <c r="F65" s="8" t="s">
        <v>119</v>
      </c>
      <c r="G65" s="8" t="s">
        <v>141</v>
      </c>
      <c r="H65" s="8" t="s">
        <v>150</v>
      </c>
    </row>
    <row r="66" spans="1:8" ht="46.5" x14ac:dyDescent="0.35">
      <c r="A66" s="7" t="s">
        <v>500</v>
      </c>
      <c r="B66" s="7">
        <v>5</v>
      </c>
      <c r="C66" s="7" t="s">
        <v>188</v>
      </c>
      <c r="D66" s="7">
        <v>14</v>
      </c>
      <c r="E66" s="8">
        <v>5</v>
      </c>
      <c r="F66" s="8" t="s">
        <v>119</v>
      </c>
      <c r="G66" s="8" t="s">
        <v>141</v>
      </c>
      <c r="H66" s="8" t="s">
        <v>193</v>
      </c>
    </row>
    <row r="67" spans="1:8" ht="46.5" x14ac:dyDescent="0.35">
      <c r="A67" s="7" t="s">
        <v>501</v>
      </c>
      <c r="B67" s="7">
        <v>1</v>
      </c>
      <c r="C67" s="7" t="s">
        <v>86</v>
      </c>
      <c r="D67" s="7">
        <v>4</v>
      </c>
      <c r="E67" s="8">
        <v>1</v>
      </c>
      <c r="F67" s="8" t="s">
        <v>52</v>
      </c>
      <c r="G67" s="8" t="s">
        <v>53</v>
      </c>
      <c r="H67" s="8" t="s">
        <v>95</v>
      </c>
    </row>
    <row r="68" spans="1:8" ht="31" x14ac:dyDescent="0.35">
      <c r="A68" s="7" t="s">
        <v>501</v>
      </c>
      <c r="B68" s="7">
        <v>2</v>
      </c>
      <c r="C68" s="7" t="s">
        <v>348</v>
      </c>
      <c r="D68" s="7">
        <v>34</v>
      </c>
      <c r="E68" s="8">
        <v>1</v>
      </c>
      <c r="F68" s="8" t="s">
        <v>119</v>
      </c>
      <c r="G68" s="8" t="s">
        <v>120</v>
      </c>
      <c r="H68" s="8" t="s">
        <v>355</v>
      </c>
    </row>
    <row r="69" spans="1:8" ht="62" x14ac:dyDescent="0.35">
      <c r="A69" s="7" t="s">
        <v>501</v>
      </c>
      <c r="B69" s="7">
        <v>3</v>
      </c>
      <c r="C69" s="7" t="s">
        <v>372</v>
      </c>
      <c r="D69" s="7">
        <v>37</v>
      </c>
      <c r="E69" s="8">
        <v>1</v>
      </c>
      <c r="F69" s="8" t="s">
        <v>119</v>
      </c>
      <c r="G69" s="8" t="s">
        <v>120</v>
      </c>
      <c r="H69" s="8" t="s">
        <v>377</v>
      </c>
    </row>
    <row r="70" spans="1:8" ht="62" x14ac:dyDescent="0.35">
      <c r="A70" s="7" t="s">
        <v>501</v>
      </c>
      <c r="B70" s="7">
        <v>4</v>
      </c>
      <c r="C70" s="7" t="s">
        <v>75</v>
      </c>
      <c r="D70" s="7">
        <v>3</v>
      </c>
      <c r="E70" s="8">
        <v>2</v>
      </c>
      <c r="F70" s="8" t="s">
        <v>52</v>
      </c>
      <c r="G70" s="8" t="s">
        <v>53</v>
      </c>
      <c r="H70" s="8" t="s">
        <v>85</v>
      </c>
    </row>
    <row r="71" spans="1:8" ht="31" x14ac:dyDescent="0.35">
      <c r="A71" s="7" t="s">
        <v>501</v>
      </c>
      <c r="B71" s="7">
        <v>5</v>
      </c>
      <c r="C71" s="7" t="s">
        <v>422</v>
      </c>
      <c r="D71" s="7">
        <v>43</v>
      </c>
      <c r="E71" s="8">
        <v>2</v>
      </c>
      <c r="F71" s="8" t="s">
        <v>119</v>
      </c>
      <c r="G71" s="8" t="s">
        <v>120</v>
      </c>
      <c r="H71" s="8" t="s">
        <v>429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1"/>
  <sheetViews>
    <sheetView showGridLines="0" topLeftCell="V1" zoomScaleNormal="100" workbookViewId="0">
      <pane ySplit="4" topLeftCell="A5" activePane="bottomLeft" state="frozen"/>
      <selection pane="bottomLeft" activeCell="Y6" sqref="Y6"/>
    </sheetView>
  </sheetViews>
  <sheetFormatPr defaultRowHeight="14.5" x14ac:dyDescent="0.35"/>
  <cols>
    <col min="1" max="1" width="19.54296875" customWidth="1"/>
    <col min="2" max="2" width="24" customWidth="1"/>
    <col min="3" max="3" width="25.81640625" customWidth="1"/>
    <col min="4" max="4" width="20.36328125" customWidth="1"/>
    <col min="5" max="5" width="27.90625" customWidth="1"/>
    <col min="6" max="6" width="35.26953125" customWidth="1"/>
    <col min="7" max="7" width="31.26953125" customWidth="1"/>
    <col min="8" max="8" width="29" customWidth="1"/>
    <col min="9" max="9" width="25.81640625" customWidth="1"/>
    <col min="10" max="10" width="21" customWidth="1"/>
    <col min="11" max="11" width="26.81640625" customWidth="1"/>
    <col min="12" max="12" width="20" customWidth="1"/>
    <col min="13" max="13" width="25.1796875" customWidth="1"/>
    <col min="14" max="14" width="14" customWidth="1"/>
    <col min="15" max="16" width="22" customWidth="1"/>
    <col min="17" max="17" width="30" customWidth="1"/>
    <col min="18" max="18" width="45" customWidth="1"/>
    <col min="19" max="19" width="38" customWidth="1"/>
    <col min="20" max="20" width="28" customWidth="1"/>
    <col min="21" max="21" width="16" customWidth="1"/>
    <col min="22" max="22" width="29.36328125" customWidth="1"/>
    <col min="23" max="23" width="55" customWidth="1"/>
    <col min="24" max="24" width="24" customWidth="1"/>
    <col min="25" max="25" width="21.453125" customWidth="1"/>
    <col min="26" max="26" width="14" style="17" customWidth="1"/>
    <col min="27" max="27" width="17.7265625" customWidth="1"/>
    <col min="28" max="28" width="20.08984375" customWidth="1"/>
    <col min="29" max="29" width="19.54296875" customWidth="1"/>
    <col min="30" max="30" width="70" customWidth="1"/>
  </cols>
  <sheetData>
    <row r="1" spans="1:30" ht="23" customHeight="1" x14ac:dyDescent="0.35">
      <c r="A1" s="5" t="s">
        <v>24</v>
      </c>
      <c r="B1" s="5" t="s">
        <v>25</v>
      </c>
      <c r="C1" s="5" t="s">
        <v>26</v>
      </c>
      <c r="D1" s="5" t="s">
        <v>27</v>
      </c>
      <c r="E1" s="5" t="s">
        <v>23</v>
      </c>
      <c r="F1" s="5" t="s">
        <v>28</v>
      </c>
      <c r="G1" s="5" t="s">
        <v>29</v>
      </c>
      <c r="H1" s="5" t="s">
        <v>30</v>
      </c>
      <c r="I1" s="5" t="s">
        <v>732</v>
      </c>
      <c r="J1" s="5" t="s">
        <v>31</v>
      </c>
      <c r="K1" s="5" t="s">
        <v>32</v>
      </c>
      <c r="L1" s="5" t="s">
        <v>33</v>
      </c>
      <c r="M1" s="5" t="s">
        <v>34</v>
      </c>
      <c r="N1" s="5" t="s">
        <v>35</v>
      </c>
      <c r="O1" s="5" t="s">
        <v>36</v>
      </c>
      <c r="P1" s="5" t="s">
        <v>37</v>
      </c>
      <c r="Q1" s="5" t="s">
        <v>38</v>
      </c>
      <c r="R1" s="5" t="s">
        <v>39</v>
      </c>
      <c r="S1" s="5" t="s">
        <v>40</v>
      </c>
      <c r="T1" s="5" t="s">
        <v>41</v>
      </c>
      <c r="U1" s="5" t="s">
        <v>42</v>
      </c>
      <c r="V1" s="5" t="s">
        <v>43</v>
      </c>
      <c r="W1" s="5" t="s">
        <v>44</v>
      </c>
      <c r="X1" s="5" t="s">
        <v>45</v>
      </c>
      <c r="Y1" s="5" t="s">
        <v>46</v>
      </c>
      <c r="Z1" s="15" t="s">
        <v>47</v>
      </c>
      <c r="AA1" s="5" t="s">
        <v>738</v>
      </c>
      <c r="AB1" s="5" t="s">
        <v>48</v>
      </c>
      <c r="AC1" s="5" t="s">
        <v>49</v>
      </c>
      <c r="AD1" s="5" t="s">
        <v>50</v>
      </c>
    </row>
    <row r="2" spans="1:30" ht="31" x14ac:dyDescent="0.35">
      <c r="A2" s="7">
        <v>1</v>
      </c>
      <c r="B2" s="7" t="s">
        <v>51</v>
      </c>
      <c r="C2" s="7" t="s">
        <v>52</v>
      </c>
      <c r="D2" s="7" t="s">
        <v>53</v>
      </c>
      <c r="E2" s="8">
        <f t="shared" ref="E2:E33" si="0">SUM(F2*0.3,G2*0.2,H2*0.15,I2*0.15,J2*0.1,K2*0.1)</f>
        <v>4.3499999999999996</v>
      </c>
      <c r="F2" s="8">
        <v>5</v>
      </c>
      <c r="G2" s="8">
        <v>5</v>
      </c>
      <c r="H2" s="8">
        <v>4</v>
      </c>
      <c r="I2" s="8">
        <v>3</v>
      </c>
      <c r="J2" s="8">
        <v>4</v>
      </c>
      <c r="K2" s="8">
        <v>4</v>
      </c>
      <c r="L2" s="8">
        <v>5</v>
      </c>
      <c r="M2" s="7">
        <v>1</v>
      </c>
      <c r="N2" s="7" t="s">
        <v>54</v>
      </c>
      <c r="O2" s="7" t="s">
        <v>55</v>
      </c>
      <c r="P2" s="7" t="s">
        <v>56</v>
      </c>
      <c r="Q2" s="7" t="s">
        <v>57</v>
      </c>
      <c r="R2" s="7" t="s">
        <v>58</v>
      </c>
      <c r="S2" s="7" t="s">
        <v>59</v>
      </c>
      <c r="T2" s="7" t="s">
        <v>60</v>
      </c>
      <c r="U2" s="7" t="s">
        <v>61</v>
      </c>
      <c r="V2" s="7" t="s">
        <v>62</v>
      </c>
      <c r="W2" s="7" t="s">
        <v>63</v>
      </c>
      <c r="X2" s="7" t="s">
        <v>739</v>
      </c>
      <c r="Y2" s="14">
        <v>60315422</v>
      </c>
      <c r="Z2" s="16">
        <v>8768572</v>
      </c>
      <c r="AA2" s="18">
        <v>0.14499999999999999</v>
      </c>
      <c r="AB2" s="18">
        <v>1.4999999999999999E-2</v>
      </c>
      <c r="AC2" s="7">
        <v>48.7</v>
      </c>
      <c r="AD2" s="7" t="s">
        <v>64</v>
      </c>
    </row>
    <row r="3" spans="1:30" ht="31" x14ac:dyDescent="0.35">
      <c r="A3" s="7">
        <v>2</v>
      </c>
      <c r="B3" s="7" t="s">
        <v>65</v>
      </c>
      <c r="C3" s="7" t="s">
        <v>52</v>
      </c>
      <c r="D3" s="7" t="s">
        <v>53</v>
      </c>
      <c r="E3" s="8">
        <f t="shared" si="0"/>
        <v>3.95</v>
      </c>
      <c r="F3" s="8">
        <v>4</v>
      </c>
      <c r="G3" s="8">
        <v>2</v>
      </c>
      <c r="H3" s="8">
        <v>5</v>
      </c>
      <c r="I3" s="8">
        <v>4</v>
      </c>
      <c r="J3" s="8">
        <v>5</v>
      </c>
      <c r="K3" s="8">
        <v>5</v>
      </c>
      <c r="L3" s="8">
        <v>5</v>
      </c>
      <c r="M3" s="7">
        <v>2</v>
      </c>
      <c r="N3" s="7" t="s">
        <v>54</v>
      </c>
      <c r="O3" s="7" t="s">
        <v>55</v>
      </c>
      <c r="P3" s="7" t="s">
        <v>66</v>
      </c>
      <c r="Q3" s="7" t="s">
        <v>67</v>
      </c>
      <c r="R3" s="7" t="s">
        <v>68</v>
      </c>
      <c r="S3" s="7" t="s">
        <v>69</v>
      </c>
      <c r="T3" s="7" t="s">
        <v>70</v>
      </c>
      <c r="U3" s="7" t="s">
        <v>71</v>
      </c>
      <c r="V3" s="7" t="s">
        <v>72</v>
      </c>
      <c r="W3" s="7" t="s">
        <v>73</v>
      </c>
      <c r="X3" s="7" t="s">
        <v>740</v>
      </c>
      <c r="Y3" s="14">
        <v>49767388</v>
      </c>
      <c r="Z3" s="16">
        <v>10166816</v>
      </c>
      <c r="AA3" s="18">
        <v>0.20399999999999999</v>
      </c>
      <c r="AB3" s="19">
        <v>5.2999999999999999E-2</v>
      </c>
      <c r="AC3" s="7">
        <v>65</v>
      </c>
      <c r="AD3" s="7" t="s">
        <v>74</v>
      </c>
    </row>
    <row r="4" spans="1:30" ht="46.5" x14ac:dyDescent="0.35">
      <c r="A4" s="7">
        <v>3</v>
      </c>
      <c r="B4" s="7" t="s">
        <v>75</v>
      </c>
      <c r="C4" s="7" t="s">
        <v>52</v>
      </c>
      <c r="D4" s="7" t="s">
        <v>53</v>
      </c>
      <c r="E4" s="8">
        <f t="shared" si="0"/>
        <v>3.5</v>
      </c>
      <c r="F4" s="8">
        <v>3</v>
      </c>
      <c r="G4" s="8">
        <v>5</v>
      </c>
      <c r="H4" s="8">
        <v>4</v>
      </c>
      <c r="I4" s="8">
        <v>2</v>
      </c>
      <c r="J4" s="8">
        <v>5</v>
      </c>
      <c r="K4" s="8">
        <v>2</v>
      </c>
      <c r="L4" s="8">
        <v>5</v>
      </c>
      <c r="M4" s="7">
        <v>3</v>
      </c>
      <c r="N4" s="7" t="s">
        <v>54</v>
      </c>
      <c r="O4" s="7" t="s">
        <v>76</v>
      </c>
      <c r="P4" s="7" t="s">
        <v>77</v>
      </c>
      <c r="Q4" s="7" t="s">
        <v>78</v>
      </c>
      <c r="R4" s="7" t="s">
        <v>79</v>
      </c>
      <c r="S4" s="7" t="s">
        <v>80</v>
      </c>
      <c r="T4" s="7" t="s">
        <v>81</v>
      </c>
      <c r="U4" s="7" t="s">
        <v>82</v>
      </c>
      <c r="V4" s="7" t="s">
        <v>83</v>
      </c>
      <c r="W4" s="7" t="s">
        <v>84</v>
      </c>
      <c r="X4" s="7" t="s">
        <v>741</v>
      </c>
      <c r="Y4" s="14">
        <v>36774911</v>
      </c>
      <c r="Z4" s="16">
        <v>8769191</v>
      </c>
      <c r="AA4" s="18">
        <v>0.23799999999999999</v>
      </c>
      <c r="AB4" s="18">
        <v>-1.4999999999999999E-2</v>
      </c>
      <c r="AC4" s="7">
        <v>79.900000000000006</v>
      </c>
      <c r="AD4" s="7" t="s">
        <v>85</v>
      </c>
    </row>
    <row r="5" spans="1:30" ht="46.5" x14ac:dyDescent="0.35">
      <c r="A5" s="7">
        <v>4</v>
      </c>
      <c r="B5" s="7" t="s">
        <v>86</v>
      </c>
      <c r="C5" s="7" t="s">
        <v>52</v>
      </c>
      <c r="D5" s="7" t="s">
        <v>53</v>
      </c>
      <c r="E5" s="8">
        <f t="shared" si="0"/>
        <v>3.3000000000000003</v>
      </c>
      <c r="F5" s="8">
        <v>3</v>
      </c>
      <c r="G5" s="8">
        <v>4</v>
      </c>
      <c r="H5" s="8">
        <v>5</v>
      </c>
      <c r="I5" s="8">
        <v>3</v>
      </c>
      <c r="J5" s="8">
        <v>3</v>
      </c>
      <c r="K5" s="8">
        <v>1</v>
      </c>
      <c r="L5" s="8">
        <v>5</v>
      </c>
      <c r="M5" s="7">
        <v>4</v>
      </c>
      <c r="N5" s="7" t="s">
        <v>54</v>
      </c>
      <c r="O5" s="7" t="s">
        <v>76</v>
      </c>
      <c r="P5" s="7" t="s">
        <v>87</v>
      </c>
      <c r="Q5" s="7" t="s">
        <v>88</v>
      </c>
      <c r="R5" s="7" t="s">
        <v>89</v>
      </c>
      <c r="S5" s="7" t="s">
        <v>90</v>
      </c>
      <c r="T5" s="7" t="s">
        <v>91</v>
      </c>
      <c r="U5" s="7" t="s">
        <v>92</v>
      </c>
      <c r="V5" s="7" t="s">
        <v>93</v>
      </c>
      <c r="W5" s="7" t="s">
        <v>94</v>
      </c>
      <c r="X5" s="7" t="s">
        <v>742</v>
      </c>
      <c r="Y5" s="14">
        <v>34502075</v>
      </c>
      <c r="Z5" s="16">
        <v>9975811</v>
      </c>
      <c r="AA5" s="18">
        <v>0.28899999999999998</v>
      </c>
      <c r="AB5" s="18">
        <v>0.13900000000000001</v>
      </c>
      <c r="AC5" s="7">
        <v>101.1</v>
      </c>
      <c r="AD5" s="7" t="s">
        <v>95</v>
      </c>
    </row>
    <row r="6" spans="1:30" ht="31" x14ac:dyDescent="0.35">
      <c r="A6" s="7">
        <v>5</v>
      </c>
      <c r="B6" s="7" t="s">
        <v>96</v>
      </c>
      <c r="C6" s="7" t="s">
        <v>52</v>
      </c>
      <c r="D6" s="7" t="s">
        <v>53</v>
      </c>
      <c r="E6" s="8">
        <f t="shared" si="0"/>
        <v>2.8</v>
      </c>
      <c r="F6" s="8">
        <v>1</v>
      </c>
      <c r="G6" s="8">
        <v>4</v>
      </c>
      <c r="H6" s="8">
        <v>1</v>
      </c>
      <c r="I6" s="8">
        <v>5</v>
      </c>
      <c r="J6" s="8">
        <v>3</v>
      </c>
      <c r="K6" s="8">
        <v>5</v>
      </c>
      <c r="L6" s="8">
        <v>5</v>
      </c>
      <c r="M6" s="7">
        <v>5</v>
      </c>
      <c r="N6" s="7" t="s">
        <v>97</v>
      </c>
      <c r="O6" s="7" t="s">
        <v>55</v>
      </c>
      <c r="P6" s="7" t="s">
        <v>98</v>
      </c>
      <c r="Q6" s="7" t="s">
        <v>99</v>
      </c>
      <c r="R6" s="7" t="s">
        <v>100</v>
      </c>
      <c r="S6" s="7" t="s">
        <v>101</v>
      </c>
      <c r="T6" s="7" t="s">
        <v>102</v>
      </c>
      <c r="U6" s="7" t="s">
        <v>103</v>
      </c>
      <c r="V6" s="7" t="s">
        <v>104</v>
      </c>
      <c r="W6" s="7" t="s">
        <v>105</v>
      </c>
      <c r="X6" s="7"/>
      <c r="Y6" s="14"/>
      <c r="Z6" s="16"/>
      <c r="AA6" s="7"/>
      <c r="AB6" s="7"/>
      <c r="AC6" s="7"/>
      <c r="AD6" s="7" t="s">
        <v>106</v>
      </c>
    </row>
    <row r="7" spans="1:30" ht="46.5" x14ac:dyDescent="0.35">
      <c r="A7" s="7">
        <v>6</v>
      </c>
      <c r="B7" s="7" t="s">
        <v>107</v>
      </c>
      <c r="C7" s="7" t="s">
        <v>108</v>
      </c>
      <c r="D7" s="7" t="s">
        <v>109</v>
      </c>
      <c r="E7" s="8">
        <f t="shared" si="0"/>
        <v>3.6249999999999996</v>
      </c>
      <c r="F7" s="8">
        <v>3.5</v>
      </c>
      <c r="G7" s="8">
        <v>5</v>
      </c>
      <c r="H7" s="8">
        <v>4.5</v>
      </c>
      <c r="I7" s="8">
        <v>1</v>
      </c>
      <c r="J7" s="8">
        <v>3.5</v>
      </c>
      <c r="K7" s="8">
        <v>4</v>
      </c>
      <c r="L7" s="8">
        <v>4</v>
      </c>
      <c r="M7" s="7"/>
      <c r="N7" s="7" t="s">
        <v>54</v>
      </c>
      <c r="O7" s="7" t="s">
        <v>55</v>
      </c>
      <c r="P7" s="7" t="s">
        <v>56</v>
      </c>
      <c r="Q7" s="7" t="s">
        <v>110</v>
      </c>
      <c r="R7" s="7" t="s">
        <v>111</v>
      </c>
      <c r="S7" s="7" t="s">
        <v>112</v>
      </c>
      <c r="T7" s="7" t="s">
        <v>731</v>
      </c>
      <c r="U7" s="7" t="s">
        <v>114</v>
      </c>
      <c r="V7" s="7" t="s">
        <v>115</v>
      </c>
      <c r="W7" s="7" t="s">
        <v>116</v>
      </c>
      <c r="X7" s="7" t="s">
        <v>743</v>
      </c>
      <c r="Y7" s="14">
        <v>25188081</v>
      </c>
      <c r="Z7" s="16">
        <v>5929072</v>
      </c>
      <c r="AA7" s="18">
        <v>0.23499999999999999</v>
      </c>
      <c r="AB7" s="18">
        <v>0.16300000000000001</v>
      </c>
      <c r="AC7" s="7">
        <v>75</v>
      </c>
      <c r="AD7" s="7" t="s">
        <v>117</v>
      </c>
    </row>
    <row r="8" spans="1:30" ht="31" x14ac:dyDescent="0.35">
      <c r="A8" s="7">
        <v>7</v>
      </c>
      <c r="B8" s="7" t="s">
        <v>118</v>
      </c>
      <c r="C8" s="7" t="s">
        <v>119</v>
      </c>
      <c r="D8" s="7" t="s">
        <v>120</v>
      </c>
      <c r="E8" s="8">
        <f t="shared" si="0"/>
        <v>3.2700000000000005</v>
      </c>
      <c r="F8" s="8">
        <v>3.5</v>
      </c>
      <c r="G8" s="8">
        <v>4</v>
      </c>
      <c r="H8" s="8">
        <v>4.8</v>
      </c>
      <c r="I8" s="8">
        <v>1</v>
      </c>
      <c r="J8" s="8">
        <v>2.5</v>
      </c>
      <c r="K8" s="8">
        <v>3</v>
      </c>
      <c r="L8" s="8">
        <v>4</v>
      </c>
      <c r="M8" s="7"/>
      <c r="N8" s="7" t="s">
        <v>54</v>
      </c>
      <c r="O8" s="7" t="s">
        <v>76</v>
      </c>
      <c r="P8" s="7" t="s">
        <v>121</v>
      </c>
      <c r="Q8" s="7" t="s">
        <v>122</v>
      </c>
      <c r="R8" s="7" t="s">
        <v>123</v>
      </c>
      <c r="S8" s="7" t="s">
        <v>124</v>
      </c>
      <c r="T8" s="7" t="s">
        <v>730</v>
      </c>
      <c r="U8" s="7" t="s">
        <v>126</v>
      </c>
      <c r="V8" s="7" t="s">
        <v>127</v>
      </c>
      <c r="W8" s="7" t="s">
        <v>128</v>
      </c>
      <c r="X8" s="7" t="s">
        <v>744</v>
      </c>
      <c r="Y8" s="14">
        <v>12199521</v>
      </c>
      <c r="Z8" s="16">
        <v>2959394</v>
      </c>
      <c r="AA8" s="18">
        <v>0.24299999999999999</v>
      </c>
      <c r="AB8" s="18">
        <v>5.5E-2</v>
      </c>
      <c r="AC8" s="7">
        <v>76.599999999999994</v>
      </c>
      <c r="AD8" s="7" t="s">
        <v>129</v>
      </c>
    </row>
    <row r="9" spans="1:30" ht="31" x14ac:dyDescent="0.35">
      <c r="A9" s="7">
        <v>8</v>
      </c>
      <c r="B9" s="7" t="s">
        <v>130</v>
      </c>
      <c r="C9" s="7" t="s">
        <v>119</v>
      </c>
      <c r="D9" s="7" t="s">
        <v>120</v>
      </c>
      <c r="E9" s="8">
        <f t="shared" si="0"/>
        <v>3.25</v>
      </c>
      <c r="F9" s="8">
        <v>3.5</v>
      </c>
      <c r="G9" s="8">
        <v>4</v>
      </c>
      <c r="H9" s="8">
        <v>4</v>
      </c>
      <c r="I9" s="8">
        <v>1</v>
      </c>
      <c r="J9" s="8">
        <v>2.5</v>
      </c>
      <c r="K9" s="8">
        <v>4</v>
      </c>
      <c r="L9" s="8">
        <v>4</v>
      </c>
      <c r="M9" s="7"/>
      <c r="N9" s="7" t="s">
        <v>54</v>
      </c>
      <c r="O9" s="7" t="s">
        <v>55</v>
      </c>
      <c r="P9" s="7" t="s">
        <v>131</v>
      </c>
      <c r="Q9" s="7" t="s">
        <v>132</v>
      </c>
      <c r="R9" s="7" t="s">
        <v>133</v>
      </c>
      <c r="S9" s="7" t="s">
        <v>134</v>
      </c>
      <c r="T9" s="7" t="s">
        <v>705</v>
      </c>
      <c r="U9" s="7" t="s">
        <v>136</v>
      </c>
      <c r="V9" s="7" t="s">
        <v>137</v>
      </c>
      <c r="W9" s="7" t="s">
        <v>138</v>
      </c>
      <c r="X9" s="7" t="s">
        <v>745</v>
      </c>
      <c r="Y9" s="14">
        <v>12931762</v>
      </c>
      <c r="Z9" s="16">
        <v>2663849</v>
      </c>
      <c r="AA9" s="18">
        <v>0.20599999999999999</v>
      </c>
      <c r="AB9" s="18">
        <v>8.2000000000000003E-2</v>
      </c>
      <c r="AC9" s="7">
        <v>64.5</v>
      </c>
      <c r="AD9" s="7" t="s">
        <v>139</v>
      </c>
    </row>
    <row r="10" spans="1:30" ht="31" x14ac:dyDescent="0.35">
      <c r="A10" s="7">
        <v>9</v>
      </c>
      <c r="B10" s="7" t="s">
        <v>140</v>
      </c>
      <c r="C10" s="7" t="s">
        <v>119</v>
      </c>
      <c r="D10" s="7" t="s">
        <v>141</v>
      </c>
      <c r="E10" s="8">
        <f t="shared" si="0"/>
        <v>3.2199999999999998</v>
      </c>
      <c r="F10" s="8">
        <v>3</v>
      </c>
      <c r="G10" s="8">
        <v>3</v>
      </c>
      <c r="H10" s="8">
        <v>3.8</v>
      </c>
      <c r="I10" s="8">
        <v>2</v>
      </c>
      <c r="J10" s="8">
        <v>3.5</v>
      </c>
      <c r="K10" s="8">
        <v>5</v>
      </c>
      <c r="L10" s="8">
        <v>3</v>
      </c>
      <c r="M10" s="7"/>
      <c r="N10" s="7" t="s">
        <v>97</v>
      </c>
      <c r="O10" s="7" t="s">
        <v>55</v>
      </c>
      <c r="P10" s="7" t="s">
        <v>142</v>
      </c>
      <c r="Q10" s="7" t="s">
        <v>143</v>
      </c>
      <c r="R10" s="7" t="s">
        <v>144</v>
      </c>
      <c r="S10" s="7" t="s">
        <v>145</v>
      </c>
      <c r="T10" s="7" t="s">
        <v>146</v>
      </c>
      <c r="U10" s="7" t="s">
        <v>147</v>
      </c>
      <c r="V10" s="7" t="s">
        <v>148</v>
      </c>
      <c r="W10" s="7" t="s">
        <v>149</v>
      </c>
      <c r="X10" s="7"/>
      <c r="Y10" s="14"/>
      <c r="Z10" s="16"/>
      <c r="AA10" s="7"/>
      <c r="AB10" s="7"/>
      <c r="AC10" s="7"/>
      <c r="AD10" s="7" t="s">
        <v>150</v>
      </c>
    </row>
    <row r="11" spans="1:30" ht="31" x14ac:dyDescent="0.35">
      <c r="A11" s="7">
        <v>10</v>
      </c>
      <c r="B11" s="7" t="s">
        <v>151</v>
      </c>
      <c r="C11" s="7" t="s">
        <v>119</v>
      </c>
      <c r="D11" s="7" t="s">
        <v>141</v>
      </c>
      <c r="E11" s="8">
        <f t="shared" si="0"/>
        <v>3.15</v>
      </c>
      <c r="F11" s="8">
        <v>2.6</v>
      </c>
      <c r="G11" s="8">
        <v>5</v>
      </c>
      <c r="H11" s="8">
        <v>3.8</v>
      </c>
      <c r="I11" s="8">
        <v>1</v>
      </c>
      <c r="J11" s="8">
        <v>2.5</v>
      </c>
      <c r="K11" s="8">
        <v>4</v>
      </c>
      <c r="L11" s="8">
        <v>4</v>
      </c>
      <c r="M11" s="7"/>
      <c r="N11" s="7" t="s">
        <v>152</v>
      </c>
      <c r="O11" s="7" t="s">
        <v>55</v>
      </c>
      <c r="P11" s="7" t="s">
        <v>131</v>
      </c>
      <c r="Q11" s="7" t="s">
        <v>153</v>
      </c>
      <c r="R11" s="7" t="s">
        <v>154</v>
      </c>
      <c r="S11" s="7" t="s">
        <v>155</v>
      </c>
      <c r="T11" s="7" t="s">
        <v>706</v>
      </c>
      <c r="U11" s="7" t="s">
        <v>157</v>
      </c>
      <c r="V11" s="7" t="s">
        <v>158</v>
      </c>
      <c r="W11" s="7" t="s">
        <v>159</v>
      </c>
      <c r="X11" s="7" t="s">
        <v>746</v>
      </c>
      <c r="Y11" s="14">
        <v>9025740</v>
      </c>
      <c r="Z11" s="16">
        <v>3341881</v>
      </c>
      <c r="AA11" s="18">
        <v>0.37</v>
      </c>
      <c r="AB11" s="18">
        <v>0.21099999999999999</v>
      </c>
      <c r="AC11" s="7">
        <v>121.6</v>
      </c>
      <c r="AD11" s="7" t="s">
        <v>160</v>
      </c>
    </row>
    <row r="12" spans="1:30" ht="31" x14ac:dyDescent="0.35">
      <c r="A12" s="7">
        <v>11</v>
      </c>
      <c r="B12" s="7" t="s">
        <v>161</v>
      </c>
      <c r="C12" s="7" t="s">
        <v>119</v>
      </c>
      <c r="D12" s="7" t="s">
        <v>120</v>
      </c>
      <c r="E12" s="8">
        <f t="shared" si="0"/>
        <v>3.1300000000000003</v>
      </c>
      <c r="F12" s="8">
        <v>3.6</v>
      </c>
      <c r="G12" s="8">
        <v>3</v>
      </c>
      <c r="H12" s="8">
        <v>4</v>
      </c>
      <c r="I12" s="8">
        <v>1</v>
      </c>
      <c r="J12" s="8">
        <v>2.5</v>
      </c>
      <c r="K12" s="8">
        <v>4.5</v>
      </c>
      <c r="L12" s="8">
        <v>3</v>
      </c>
      <c r="M12" s="7"/>
      <c r="N12" s="7" t="s">
        <v>97</v>
      </c>
      <c r="O12" s="7" t="s">
        <v>55</v>
      </c>
      <c r="P12" s="7" t="s">
        <v>98</v>
      </c>
      <c r="Q12" s="7" t="s">
        <v>162</v>
      </c>
      <c r="R12" s="7" t="s">
        <v>163</v>
      </c>
      <c r="S12" s="7" t="s">
        <v>164</v>
      </c>
      <c r="T12" s="7" t="s">
        <v>165</v>
      </c>
      <c r="U12" s="7" t="s">
        <v>166</v>
      </c>
      <c r="V12" s="7" t="s">
        <v>167</v>
      </c>
      <c r="W12" s="7" t="s">
        <v>168</v>
      </c>
      <c r="X12" s="7"/>
      <c r="Y12" s="14"/>
      <c r="Z12" s="16"/>
      <c r="AA12" s="7"/>
      <c r="AB12" s="7"/>
      <c r="AC12" s="7"/>
      <c r="AD12" s="7" t="s">
        <v>169</v>
      </c>
    </row>
    <row r="13" spans="1:30" ht="46.5" x14ac:dyDescent="0.35">
      <c r="A13" s="7">
        <v>12</v>
      </c>
      <c r="B13" s="7" t="s">
        <v>170</v>
      </c>
      <c r="C13" s="7" t="s">
        <v>119</v>
      </c>
      <c r="D13" s="7" t="s">
        <v>141</v>
      </c>
      <c r="E13" s="8">
        <f t="shared" si="0"/>
        <v>3.13</v>
      </c>
      <c r="F13" s="8">
        <v>3</v>
      </c>
      <c r="G13" s="8">
        <v>4</v>
      </c>
      <c r="H13" s="8">
        <v>4.2</v>
      </c>
      <c r="I13" s="8">
        <v>1</v>
      </c>
      <c r="J13" s="8">
        <v>2.5</v>
      </c>
      <c r="K13" s="8">
        <v>4</v>
      </c>
      <c r="L13" s="8">
        <v>3</v>
      </c>
      <c r="M13" s="7"/>
      <c r="N13" s="7" t="s">
        <v>54</v>
      </c>
      <c r="O13" s="7" t="s">
        <v>76</v>
      </c>
      <c r="P13" s="7" t="s">
        <v>121</v>
      </c>
      <c r="Q13" s="7" t="s">
        <v>171</v>
      </c>
      <c r="R13" s="7" t="s">
        <v>172</v>
      </c>
      <c r="S13" s="7" t="s">
        <v>173</v>
      </c>
      <c r="T13" s="7" t="s">
        <v>707</v>
      </c>
      <c r="U13" s="7" t="s">
        <v>175</v>
      </c>
      <c r="V13" s="7" t="s">
        <v>176</v>
      </c>
      <c r="W13" s="7" t="s">
        <v>177</v>
      </c>
      <c r="X13" s="7" t="s">
        <v>747</v>
      </c>
      <c r="Y13" s="14">
        <v>40166336</v>
      </c>
      <c r="Z13" s="16">
        <v>12477651</v>
      </c>
      <c r="AA13" s="18">
        <v>0.311</v>
      </c>
      <c r="AB13" s="18">
        <v>5.7000000000000002E-2</v>
      </c>
      <c r="AC13" s="7">
        <v>101.9</v>
      </c>
      <c r="AD13" s="7" t="s">
        <v>178</v>
      </c>
    </row>
    <row r="14" spans="1:30" ht="31" x14ac:dyDescent="0.35">
      <c r="A14" s="7">
        <v>13</v>
      </c>
      <c r="B14" s="7" t="s">
        <v>179</v>
      </c>
      <c r="C14" s="7" t="s">
        <v>119</v>
      </c>
      <c r="D14" s="7" t="s">
        <v>120</v>
      </c>
      <c r="E14" s="8">
        <f t="shared" si="0"/>
        <v>3.13</v>
      </c>
      <c r="F14" s="8">
        <v>3.5</v>
      </c>
      <c r="G14" s="8">
        <v>4</v>
      </c>
      <c r="H14" s="8">
        <v>4.2</v>
      </c>
      <c r="I14" s="8">
        <v>1</v>
      </c>
      <c r="J14" s="8">
        <v>2.5</v>
      </c>
      <c r="K14" s="8">
        <v>2.5</v>
      </c>
      <c r="L14" s="8">
        <v>3</v>
      </c>
      <c r="M14" s="7"/>
      <c r="N14" s="7" t="s">
        <v>54</v>
      </c>
      <c r="O14" s="7" t="s">
        <v>55</v>
      </c>
      <c r="P14" s="7" t="s">
        <v>131</v>
      </c>
      <c r="Q14" s="7" t="s">
        <v>180</v>
      </c>
      <c r="R14" s="7" t="s">
        <v>181</v>
      </c>
      <c r="S14" s="7" t="s">
        <v>182</v>
      </c>
      <c r="T14" s="7" t="s">
        <v>708</v>
      </c>
      <c r="U14" s="7" t="s">
        <v>184</v>
      </c>
      <c r="V14" s="7" t="s">
        <v>185</v>
      </c>
      <c r="W14" s="7" t="s">
        <v>186</v>
      </c>
      <c r="X14" s="7" t="s">
        <v>748</v>
      </c>
      <c r="Y14" s="14">
        <v>7278132</v>
      </c>
      <c r="Z14" s="16">
        <v>1701711</v>
      </c>
      <c r="AA14" s="18">
        <v>0.23400000000000001</v>
      </c>
      <c r="AB14" s="18">
        <v>4.8000000000000001E-2</v>
      </c>
      <c r="AC14" s="7">
        <v>76</v>
      </c>
      <c r="AD14" s="7" t="s">
        <v>187</v>
      </c>
    </row>
    <row r="15" spans="1:30" ht="31" x14ac:dyDescent="0.35">
      <c r="A15" s="7">
        <v>14</v>
      </c>
      <c r="B15" s="7" t="s">
        <v>188</v>
      </c>
      <c r="C15" s="7" t="s">
        <v>119</v>
      </c>
      <c r="D15" s="7" t="s">
        <v>141</v>
      </c>
      <c r="E15" s="8">
        <f t="shared" si="0"/>
        <v>3.1199999999999997</v>
      </c>
      <c r="F15" s="8">
        <v>3</v>
      </c>
      <c r="G15" s="8">
        <v>3</v>
      </c>
      <c r="H15" s="8">
        <v>3.8</v>
      </c>
      <c r="I15" s="8">
        <v>2</v>
      </c>
      <c r="J15" s="8">
        <v>2.5</v>
      </c>
      <c r="K15" s="8">
        <v>5</v>
      </c>
      <c r="L15" s="8">
        <v>3</v>
      </c>
      <c r="M15" s="7"/>
      <c r="N15" s="7" t="s">
        <v>97</v>
      </c>
      <c r="O15" s="7" t="s">
        <v>55</v>
      </c>
      <c r="P15" s="7" t="s">
        <v>142</v>
      </c>
      <c r="Q15" s="7" t="s">
        <v>189</v>
      </c>
      <c r="R15" s="7" t="s">
        <v>190</v>
      </c>
      <c r="S15" s="7" t="s">
        <v>191</v>
      </c>
      <c r="T15" s="7" t="s">
        <v>146</v>
      </c>
      <c r="U15" s="7" t="s">
        <v>147</v>
      </c>
      <c r="V15" s="7" t="s">
        <v>148</v>
      </c>
      <c r="W15" s="7" t="s">
        <v>192</v>
      </c>
      <c r="X15" s="7"/>
      <c r="Y15" s="14"/>
      <c r="Z15" s="16"/>
      <c r="AA15" s="7"/>
      <c r="AB15" s="7"/>
      <c r="AC15" s="7"/>
      <c r="AD15" s="7" t="s">
        <v>193</v>
      </c>
    </row>
    <row r="16" spans="1:30" ht="31" x14ac:dyDescent="0.35">
      <c r="A16" s="7">
        <v>15</v>
      </c>
      <c r="B16" s="7" t="s">
        <v>194</v>
      </c>
      <c r="C16" s="7" t="s">
        <v>119</v>
      </c>
      <c r="D16" s="7" t="s">
        <v>120</v>
      </c>
      <c r="E16" s="8">
        <f t="shared" si="0"/>
        <v>3.1100000000000003</v>
      </c>
      <c r="F16" s="8">
        <v>2.6</v>
      </c>
      <c r="G16" s="8">
        <v>5</v>
      </c>
      <c r="H16" s="8">
        <v>4.2</v>
      </c>
      <c r="I16" s="8">
        <v>1</v>
      </c>
      <c r="J16" s="8">
        <v>2.5</v>
      </c>
      <c r="K16" s="8">
        <v>3</v>
      </c>
      <c r="L16" s="8">
        <v>4</v>
      </c>
      <c r="M16" s="7"/>
      <c r="N16" s="7" t="s">
        <v>54</v>
      </c>
      <c r="O16" s="7" t="s">
        <v>76</v>
      </c>
      <c r="P16" s="7" t="s">
        <v>87</v>
      </c>
      <c r="Q16" s="7" t="s">
        <v>195</v>
      </c>
      <c r="R16" s="7" t="s">
        <v>196</v>
      </c>
      <c r="S16" s="7" t="s">
        <v>197</v>
      </c>
      <c r="T16" s="7" t="s">
        <v>709</v>
      </c>
      <c r="U16" s="7" t="s">
        <v>199</v>
      </c>
      <c r="V16" s="7" t="s">
        <v>200</v>
      </c>
      <c r="W16" s="7" t="s">
        <v>201</v>
      </c>
      <c r="X16" s="7" t="s">
        <v>749</v>
      </c>
      <c r="Y16" s="14">
        <v>9970288</v>
      </c>
      <c r="Z16" s="16">
        <v>3849052</v>
      </c>
      <c r="AA16" s="18">
        <v>0.38600000000000001</v>
      </c>
      <c r="AB16" s="18">
        <v>0.18099999999999999</v>
      </c>
      <c r="AC16" s="7">
        <v>130.69999999999999</v>
      </c>
      <c r="AD16" s="7" t="s">
        <v>202</v>
      </c>
    </row>
    <row r="17" spans="1:30" ht="46.5" x14ac:dyDescent="0.35">
      <c r="A17" s="7">
        <v>16</v>
      </c>
      <c r="B17" s="7" t="s">
        <v>203</v>
      </c>
      <c r="C17" s="7" t="s">
        <v>119</v>
      </c>
      <c r="D17" s="7" t="s">
        <v>141</v>
      </c>
      <c r="E17" s="8">
        <f t="shared" si="0"/>
        <v>3.105</v>
      </c>
      <c r="F17" s="8">
        <v>2.6</v>
      </c>
      <c r="G17" s="8">
        <v>5</v>
      </c>
      <c r="H17" s="8">
        <v>4.5</v>
      </c>
      <c r="I17" s="8">
        <v>1</v>
      </c>
      <c r="J17" s="8">
        <v>2.5</v>
      </c>
      <c r="K17" s="8">
        <v>2.5</v>
      </c>
      <c r="L17" s="8">
        <v>4</v>
      </c>
      <c r="M17" s="7"/>
      <c r="N17" s="7" t="s">
        <v>152</v>
      </c>
      <c r="O17" s="7" t="s">
        <v>55</v>
      </c>
      <c r="P17" s="7" t="s">
        <v>204</v>
      </c>
      <c r="Q17" s="7" t="s">
        <v>205</v>
      </c>
      <c r="R17" s="7" t="s">
        <v>206</v>
      </c>
      <c r="S17" s="7" t="s">
        <v>207</v>
      </c>
      <c r="T17" s="7" t="s">
        <v>710</v>
      </c>
      <c r="U17" s="7" t="s">
        <v>209</v>
      </c>
      <c r="V17" s="7" t="s">
        <v>137</v>
      </c>
      <c r="W17" s="7" t="s">
        <v>210</v>
      </c>
      <c r="X17" s="7" t="s">
        <v>203</v>
      </c>
      <c r="Y17" s="14">
        <v>8968538</v>
      </c>
      <c r="Z17" s="16">
        <v>2250705</v>
      </c>
      <c r="AA17" s="18">
        <v>0.251</v>
      </c>
      <c r="AB17" s="18">
        <v>0.14099999999999999</v>
      </c>
      <c r="AC17" s="7">
        <v>143.9</v>
      </c>
      <c r="AD17" s="7" t="s">
        <v>211</v>
      </c>
    </row>
    <row r="18" spans="1:30" ht="46.5" x14ac:dyDescent="0.35">
      <c r="A18" s="7">
        <v>17</v>
      </c>
      <c r="B18" s="7" t="s">
        <v>212</v>
      </c>
      <c r="C18" s="7" t="s">
        <v>119</v>
      </c>
      <c r="D18" s="7" t="s">
        <v>141</v>
      </c>
      <c r="E18" s="8">
        <f t="shared" si="0"/>
        <v>3.08</v>
      </c>
      <c r="F18" s="8">
        <v>2.1</v>
      </c>
      <c r="G18" s="8">
        <v>4</v>
      </c>
      <c r="H18" s="8">
        <v>4</v>
      </c>
      <c r="I18" s="8">
        <v>2</v>
      </c>
      <c r="J18" s="8">
        <v>3.5</v>
      </c>
      <c r="K18" s="8">
        <v>4</v>
      </c>
      <c r="L18" s="8">
        <v>2</v>
      </c>
      <c r="M18" s="7"/>
      <c r="N18" s="7" t="s">
        <v>213</v>
      </c>
      <c r="O18" s="7" t="s">
        <v>76</v>
      </c>
      <c r="P18" s="7" t="s">
        <v>214</v>
      </c>
      <c r="Q18" s="7" t="s">
        <v>215</v>
      </c>
      <c r="R18" s="7" t="s">
        <v>216</v>
      </c>
      <c r="S18" s="7" t="s">
        <v>217</v>
      </c>
      <c r="T18" s="7" t="s">
        <v>711</v>
      </c>
      <c r="U18" s="7" t="s">
        <v>219</v>
      </c>
      <c r="V18" s="7" t="s">
        <v>148</v>
      </c>
      <c r="W18" s="7" t="s">
        <v>220</v>
      </c>
      <c r="X18" s="7" t="s">
        <v>750</v>
      </c>
      <c r="Y18" s="14">
        <v>137153480</v>
      </c>
      <c r="Z18" s="16">
        <v>78811979</v>
      </c>
      <c r="AA18" s="18">
        <v>0.57499999999999996</v>
      </c>
      <c r="AB18" s="18">
        <v>8.5999999999999993E-2</v>
      </c>
      <c r="AC18" s="7">
        <v>183.3</v>
      </c>
      <c r="AD18" s="7" t="s">
        <v>221</v>
      </c>
    </row>
    <row r="19" spans="1:30" ht="31" x14ac:dyDescent="0.35">
      <c r="A19" s="7">
        <v>18</v>
      </c>
      <c r="B19" s="7" t="s">
        <v>222</v>
      </c>
      <c r="C19" s="7" t="s">
        <v>119</v>
      </c>
      <c r="D19" s="7" t="s">
        <v>120</v>
      </c>
      <c r="E19" s="8">
        <f t="shared" si="0"/>
        <v>3.0749999999999997</v>
      </c>
      <c r="F19" s="8">
        <v>3</v>
      </c>
      <c r="G19" s="8">
        <v>3</v>
      </c>
      <c r="H19" s="8">
        <v>4.5</v>
      </c>
      <c r="I19" s="8">
        <v>1</v>
      </c>
      <c r="J19" s="8">
        <v>2.5</v>
      </c>
      <c r="K19" s="8">
        <v>5</v>
      </c>
      <c r="L19" s="8">
        <v>3</v>
      </c>
      <c r="M19" s="7"/>
      <c r="N19" s="7" t="s">
        <v>213</v>
      </c>
      <c r="O19" s="7" t="s">
        <v>76</v>
      </c>
      <c r="P19" s="7" t="s">
        <v>121</v>
      </c>
      <c r="Q19" s="7" t="s">
        <v>223</v>
      </c>
      <c r="R19" s="7" t="s">
        <v>224</v>
      </c>
      <c r="S19" s="7" t="s">
        <v>225</v>
      </c>
      <c r="T19" s="7" t="s">
        <v>712</v>
      </c>
      <c r="U19" s="7" t="s">
        <v>227</v>
      </c>
      <c r="V19" s="7" t="s">
        <v>228</v>
      </c>
      <c r="W19" s="7" t="s">
        <v>229</v>
      </c>
      <c r="X19" s="7" t="s">
        <v>751</v>
      </c>
      <c r="Y19" s="14">
        <v>54576044</v>
      </c>
      <c r="Z19" s="16">
        <v>17491111</v>
      </c>
      <c r="AA19" s="18">
        <v>0.32</v>
      </c>
      <c r="AB19" s="18">
        <v>3.0000000000000001E-3</v>
      </c>
      <c r="AC19" s="7">
        <v>103.8</v>
      </c>
      <c r="AD19" s="7" t="s">
        <v>230</v>
      </c>
    </row>
    <row r="20" spans="1:30" ht="46.5" x14ac:dyDescent="0.35">
      <c r="A20" s="7">
        <v>19</v>
      </c>
      <c r="B20" s="7" t="s">
        <v>231</v>
      </c>
      <c r="C20" s="7" t="s">
        <v>119</v>
      </c>
      <c r="D20" s="7" t="s">
        <v>120</v>
      </c>
      <c r="E20" s="8">
        <f t="shared" si="0"/>
        <v>3.0749999999999997</v>
      </c>
      <c r="F20" s="8">
        <v>3</v>
      </c>
      <c r="G20" s="8">
        <v>3</v>
      </c>
      <c r="H20" s="8">
        <v>4.5</v>
      </c>
      <c r="I20" s="8">
        <v>1</v>
      </c>
      <c r="J20" s="8">
        <v>2.5</v>
      </c>
      <c r="K20" s="8">
        <v>5</v>
      </c>
      <c r="L20" s="8">
        <v>4</v>
      </c>
      <c r="M20" s="7"/>
      <c r="N20" s="7" t="s">
        <v>97</v>
      </c>
      <c r="O20" s="7" t="s">
        <v>55</v>
      </c>
      <c r="P20" s="7" t="s">
        <v>232</v>
      </c>
      <c r="Q20" s="7" t="s">
        <v>233</v>
      </c>
      <c r="R20" s="7" t="s">
        <v>234</v>
      </c>
      <c r="S20" s="7" t="s">
        <v>235</v>
      </c>
      <c r="T20" s="7" t="s">
        <v>146</v>
      </c>
      <c r="U20" s="7" t="s">
        <v>147</v>
      </c>
      <c r="V20" s="7" t="s">
        <v>137</v>
      </c>
      <c r="W20" s="7" t="s">
        <v>236</v>
      </c>
      <c r="X20" s="7"/>
      <c r="Y20" s="14"/>
      <c r="Z20" s="16"/>
      <c r="AA20" s="7"/>
      <c r="AB20" s="7"/>
      <c r="AC20" s="7"/>
      <c r="AD20" s="7" t="s">
        <v>237</v>
      </c>
    </row>
    <row r="21" spans="1:30" ht="31" x14ac:dyDescent="0.35">
      <c r="A21" s="7">
        <v>20</v>
      </c>
      <c r="B21" s="7" t="s">
        <v>238</v>
      </c>
      <c r="C21" s="7" t="s">
        <v>119</v>
      </c>
      <c r="D21" s="7" t="s">
        <v>120</v>
      </c>
      <c r="E21" s="8">
        <f t="shared" si="0"/>
        <v>3.0749999999999997</v>
      </c>
      <c r="F21" s="8">
        <v>3</v>
      </c>
      <c r="G21" s="8">
        <v>3</v>
      </c>
      <c r="H21" s="8">
        <v>4.5</v>
      </c>
      <c r="I21" s="8">
        <v>1</v>
      </c>
      <c r="J21" s="8">
        <v>2.5</v>
      </c>
      <c r="K21" s="8">
        <v>5</v>
      </c>
      <c r="L21" s="8">
        <v>3</v>
      </c>
      <c r="M21" s="7"/>
      <c r="N21" s="7" t="s">
        <v>97</v>
      </c>
      <c r="O21" s="7" t="s">
        <v>55</v>
      </c>
      <c r="P21" s="7" t="s">
        <v>142</v>
      </c>
      <c r="Q21" s="7" t="s">
        <v>239</v>
      </c>
      <c r="R21" s="7" t="s">
        <v>240</v>
      </c>
      <c r="S21" s="7" t="s">
        <v>241</v>
      </c>
      <c r="T21" s="7" t="s">
        <v>146</v>
      </c>
      <c r="U21" s="7" t="s">
        <v>147</v>
      </c>
      <c r="V21" s="7" t="s">
        <v>127</v>
      </c>
      <c r="W21" s="7" t="s">
        <v>242</v>
      </c>
      <c r="X21" s="7" t="s">
        <v>752</v>
      </c>
      <c r="Y21" s="14">
        <v>25999310</v>
      </c>
      <c r="Z21" s="16">
        <v>4612764</v>
      </c>
      <c r="AA21" s="18">
        <v>0.17699999999999999</v>
      </c>
      <c r="AB21" s="18">
        <v>3.1E-2</v>
      </c>
      <c r="AC21" s="7">
        <v>56.1</v>
      </c>
      <c r="AD21" s="7" t="s">
        <v>243</v>
      </c>
    </row>
    <row r="22" spans="1:30" ht="46.5" x14ac:dyDescent="0.35">
      <c r="A22" s="7">
        <v>21</v>
      </c>
      <c r="B22" s="7" t="s">
        <v>244</v>
      </c>
      <c r="C22" s="7" t="s">
        <v>119</v>
      </c>
      <c r="D22" s="7" t="s">
        <v>120</v>
      </c>
      <c r="E22" s="8">
        <f t="shared" si="0"/>
        <v>3.0700000000000003</v>
      </c>
      <c r="F22" s="8">
        <v>3.9</v>
      </c>
      <c r="G22" s="8">
        <v>3</v>
      </c>
      <c r="H22" s="8">
        <v>4</v>
      </c>
      <c r="I22" s="8">
        <v>1</v>
      </c>
      <c r="J22" s="8">
        <v>2.5</v>
      </c>
      <c r="K22" s="8">
        <v>3</v>
      </c>
      <c r="L22" s="8">
        <v>4</v>
      </c>
      <c r="M22" s="7"/>
      <c r="N22" s="7" t="s">
        <v>54</v>
      </c>
      <c r="O22" s="7" t="s">
        <v>55</v>
      </c>
      <c r="P22" s="7" t="s">
        <v>56</v>
      </c>
      <c r="Q22" s="7" t="s">
        <v>245</v>
      </c>
      <c r="R22" s="7" t="s">
        <v>246</v>
      </c>
      <c r="S22" s="7" t="s">
        <v>247</v>
      </c>
      <c r="T22" s="7" t="s">
        <v>713</v>
      </c>
      <c r="U22" s="7" t="s">
        <v>249</v>
      </c>
      <c r="V22" s="7" t="s">
        <v>62</v>
      </c>
      <c r="W22" s="7" t="s">
        <v>250</v>
      </c>
      <c r="X22" s="7" t="s">
        <v>753</v>
      </c>
      <c r="Y22" s="14">
        <v>6360244</v>
      </c>
      <c r="Z22" s="16">
        <v>1759953</v>
      </c>
      <c r="AA22" s="18">
        <v>0.27700000000000002</v>
      </c>
      <c r="AB22" s="18">
        <v>0.13900000000000001</v>
      </c>
      <c r="AC22" s="7">
        <v>119.5</v>
      </c>
      <c r="AD22" s="7" t="s">
        <v>251</v>
      </c>
    </row>
    <row r="23" spans="1:30" ht="31" x14ac:dyDescent="0.35">
      <c r="A23" s="7">
        <v>22</v>
      </c>
      <c r="B23" s="7" t="s">
        <v>252</v>
      </c>
      <c r="C23" s="7" t="s">
        <v>119</v>
      </c>
      <c r="D23" s="7" t="s">
        <v>141</v>
      </c>
      <c r="E23" s="8">
        <f t="shared" si="0"/>
        <v>3.06</v>
      </c>
      <c r="F23" s="8">
        <v>2.6</v>
      </c>
      <c r="G23" s="8">
        <v>5</v>
      </c>
      <c r="H23" s="8">
        <v>4.2</v>
      </c>
      <c r="I23" s="8">
        <v>1</v>
      </c>
      <c r="J23" s="8">
        <v>2.5</v>
      </c>
      <c r="K23" s="8">
        <v>2.5</v>
      </c>
      <c r="L23" s="8">
        <v>3</v>
      </c>
      <c r="M23" s="7"/>
      <c r="N23" s="7" t="s">
        <v>152</v>
      </c>
      <c r="O23" s="7" t="s">
        <v>55</v>
      </c>
      <c r="P23" s="7" t="s">
        <v>204</v>
      </c>
      <c r="Q23" s="7" t="s">
        <v>253</v>
      </c>
      <c r="R23" s="7" t="s">
        <v>254</v>
      </c>
      <c r="S23" s="7" t="s">
        <v>255</v>
      </c>
      <c r="T23" s="7" t="s">
        <v>714</v>
      </c>
      <c r="U23" s="7" t="s">
        <v>257</v>
      </c>
      <c r="V23" s="7" t="s">
        <v>258</v>
      </c>
      <c r="W23" s="7" t="s">
        <v>259</v>
      </c>
      <c r="X23" s="7" t="s">
        <v>754</v>
      </c>
      <c r="Y23" s="14">
        <v>7718796</v>
      </c>
      <c r="Z23" s="16">
        <v>3186892</v>
      </c>
      <c r="AA23" s="18">
        <v>0.41299999999999998</v>
      </c>
      <c r="AB23" s="18">
        <v>0.14699999999999999</v>
      </c>
      <c r="AC23" s="7">
        <v>154.69999999999999</v>
      </c>
      <c r="AD23" s="7" t="s">
        <v>260</v>
      </c>
    </row>
    <row r="24" spans="1:30" ht="46.5" x14ac:dyDescent="0.35">
      <c r="A24" s="7">
        <v>23</v>
      </c>
      <c r="B24" s="7" t="s">
        <v>261</v>
      </c>
      <c r="C24" s="7" t="s">
        <v>119</v>
      </c>
      <c r="D24" s="7" t="s">
        <v>141</v>
      </c>
      <c r="E24" s="8">
        <f t="shared" si="0"/>
        <v>3.0599999999999996</v>
      </c>
      <c r="F24" s="8">
        <v>2.1</v>
      </c>
      <c r="G24" s="8">
        <v>5</v>
      </c>
      <c r="H24" s="8">
        <v>4.2</v>
      </c>
      <c r="I24" s="8">
        <v>1</v>
      </c>
      <c r="J24" s="8">
        <v>2.5</v>
      </c>
      <c r="K24" s="8">
        <v>4</v>
      </c>
      <c r="L24" s="8">
        <v>4</v>
      </c>
      <c r="M24" s="7"/>
      <c r="N24" s="7" t="s">
        <v>213</v>
      </c>
      <c r="O24" s="7" t="s">
        <v>76</v>
      </c>
      <c r="P24" s="7" t="s">
        <v>262</v>
      </c>
      <c r="Q24" s="7" t="s">
        <v>263</v>
      </c>
      <c r="R24" s="7" t="s">
        <v>264</v>
      </c>
      <c r="S24" s="7" t="s">
        <v>265</v>
      </c>
      <c r="T24" s="7" t="s">
        <v>715</v>
      </c>
      <c r="U24" s="7" t="s">
        <v>267</v>
      </c>
      <c r="V24" s="7" t="s">
        <v>228</v>
      </c>
      <c r="W24" s="7" t="s">
        <v>268</v>
      </c>
      <c r="X24" s="7" t="s">
        <v>755</v>
      </c>
      <c r="Y24" s="14">
        <v>7007976</v>
      </c>
      <c r="Z24" s="16">
        <v>1384666</v>
      </c>
      <c r="AA24" s="18">
        <v>0.19800000000000001</v>
      </c>
      <c r="AB24" s="18">
        <v>7.9000000000000001E-2</v>
      </c>
      <c r="AC24" s="7">
        <v>86.1</v>
      </c>
      <c r="AD24" s="7" t="s">
        <v>269</v>
      </c>
    </row>
    <row r="25" spans="1:30" ht="31" x14ac:dyDescent="0.35">
      <c r="A25" s="7">
        <v>24</v>
      </c>
      <c r="B25" s="7" t="s">
        <v>270</v>
      </c>
      <c r="C25" s="7" t="s">
        <v>119</v>
      </c>
      <c r="D25" s="7" t="s">
        <v>120</v>
      </c>
      <c r="E25" s="8">
        <f t="shared" si="0"/>
        <v>3.0249999999999999</v>
      </c>
      <c r="F25" s="8">
        <v>3</v>
      </c>
      <c r="G25" s="8">
        <v>4</v>
      </c>
      <c r="H25" s="8">
        <v>4.5</v>
      </c>
      <c r="I25" s="8">
        <v>1</v>
      </c>
      <c r="J25" s="8">
        <v>2.5</v>
      </c>
      <c r="K25" s="8">
        <v>2.5</v>
      </c>
      <c r="L25" s="8">
        <v>3</v>
      </c>
      <c r="M25" s="7"/>
      <c r="N25" s="7" t="s">
        <v>152</v>
      </c>
      <c r="O25" s="7" t="s">
        <v>55</v>
      </c>
      <c r="P25" s="7" t="s">
        <v>204</v>
      </c>
      <c r="Q25" s="7" t="s">
        <v>271</v>
      </c>
      <c r="R25" s="7" t="s">
        <v>272</v>
      </c>
      <c r="S25" s="7" t="s">
        <v>273</v>
      </c>
      <c r="T25" s="7" t="s">
        <v>716</v>
      </c>
      <c r="U25" s="7" t="s">
        <v>275</v>
      </c>
      <c r="V25" s="7" t="s">
        <v>185</v>
      </c>
      <c r="W25" s="7" t="s">
        <v>276</v>
      </c>
      <c r="X25" s="7"/>
      <c r="Y25" s="14"/>
      <c r="Z25" s="16"/>
      <c r="AA25" s="7"/>
      <c r="AB25" s="7"/>
      <c r="AC25" s="7"/>
      <c r="AD25" s="7" t="s">
        <v>277</v>
      </c>
    </row>
    <row r="26" spans="1:30" ht="62" x14ac:dyDescent="0.35">
      <c r="A26" s="7">
        <v>25</v>
      </c>
      <c r="B26" s="7" t="s">
        <v>278</v>
      </c>
      <c r="C26" s="7" t="s">
        <v>119</v>
      </c>
      <c r="D26" s="7" t="s">
        <v>120</v>
      </c>
      <c r="E26" s="8">
        <f t="shared" si="0"/>
        <v>3.0199999999999996</v>
      </c>
      <c r="F26" s="8">
        <v>3</v>
      </c>
      <c r="G26" s="8">
        <v>3</v>
      </c>
      <c r="H26" s="8">
        <v>3.8</v>
      </c>
      <c r="I26" s="8">
        <v>1</v>
      </c>
      <c r="J26" s="8">
        <v>3</v>
      </c>
      <c r="K26" s="8">
        <v>5</v>
      </c>
      <c r="L26" s="8">
        <v>3</v>
      </c>
      <c r="M26" s="7"/>
      <c r="N26" s="7" t="s">
        <v>97</v>
      </c>
      <c r="O26" s="7" t="s">
        <v>55</v>
      </c>
      <c r="P26" s="7" t="s">
        <v>232</v>
      </c>
      <c r="Q26" s="7" t="s">
        <v>279</v>
      </c>
      <c r="R26" s="7" t="s">
        <v>280</v>
      </c>
      <c r="S26" s="7" t="s">
        <v>281</v>
      </c>
      <c r="T26" s="7" t="s">
        <v>146</v>
      </c>
      <c r="U26" s="7" t="s">
        <v>147</v>
      </c>
      <c r="V26" s="7" t="s">
        <v>282</v>
      </c>
      <c r="W26" s="7" t="s">
        <v>283</v>
      </c>
      <c r="X26" s="7" t="s">
        <v>756</v>
      </c>
      <c r="Y26" s="14">
        <v>17554624</v>
      </c>
      <c r="Z26" s="16">
        <v>4844770</v>
      </c>
      <c r="AA26" s="18">
        <v>0.27600000000000002</v>
      </c>
      <c r="AB26" s="18">
        <v>-5.0000000000000001E-3</v>
      </c>
      <c r="AC26" s="7">
        <v>90.1</v>
      </c>
      <c r="AD26" s="7" t="s">
        <v>284</v>
      </c>
    </row>
    <row r="27" spans="1:30" ht="31" x14ac:dyDescent="0.35">
      <c r="A27" s="7">
        <v>26</v>
      </c>
      <c r="B27" s="7" t="s">
        <v>285</v>
      </c>
      <c r="C27" s="7" t="s">
        <v>119</v>
      </c>
      <c r="D27" s="7" t="s">
        <v>120</v>
      </c>
      <c r="E27" s="8">
        <f t="shared" si="0"/>
        <v>3</v>
      </c>
      <c r="F27" s="8">
        <v>3</v>
      </c>
      <c r="G27" s="8">
        <v>3</v>
      </c>
      <c r="H27" s="8">
        <v>4</v>
      </c>
      <c r="I27" s="8">
        <v>1</v>
      </c>
      <c r="J27" s="8">
        <v>2.5</v>
      </c>
      <c r="K27" s="8">
        <v>5</v>
      </c>
      <c r="L27" s="8">
        <v>3</v>
      </c>
      <c r="M27" s="7"/>
      <c r="N27" s="7" t="s">
        <v>54</v>
      </c>
      <c r="O27" s="7" t="s">
        <v>76</v>
      </c>
      <c r="P27" s="7" t="s">
        <v>121</v>
      </c>
      <c r="Q27" s="7" t="s">
        <v>286</v>
      </c>
      <c r="R27" s="7" t="s">
        <v>287</v>
      </c>
      <c r="S27" s="7" t="s">
        <v>288</v>
      </c>
      <c r="T27" s="7" t="s">
        <v>717</v>
      </c>
      <c r="U27" s="7" t="s">
        <v>290</v>
      </c>
      <c r="V27" s="7" t="s">
        <v>185</v>
      </c>
      <c r="W27" s="7" t="s">
        <v>291</v>
      </c>
      <c r="X27" s="7" t="s">
        <v>757</v>
      </c>
      <c r="Y27" s="14">
        <v>30730205</v>
      </c>
      <c r="Z27" s="16">
        <v>10344879</v>
      </c>
      <c r="AA27" s="18">
        <v>0.33700000000000002</v>
      </c>
      <c r="AB27" s="18">
        <v>6.3E-2</v>
      </c>
      <c r="AC27" s="7">
        <v>120.3</v>
      </c>
      <c r="AD27" s="7" t="s">
        <v>292</v>
      </c>
    </row>
    <row r="28" spans="1:30" ht="46.5" x14ac:dyDescent="0.35">
      <c r="A28" s="7">
        <v>27</v>
      </c>
      <c r="B28" s="7" t="s">
        <v>293</v>
      </c>
      <c r="C28" s="7" t="s">
        <v>119</v>
      </c>
      <c r="D28" s="7" t="s">
        <v>120</v>
      </c>
      <c r="E28" s="8">
        <f t="shared" si="0"/>
        <v>2.9499999999999997</v>
      </c>
      <c r="F28" s="8">
        <v>2.6</v>
      </c>
      <c r="G28" s="8">
        <v>4</v>
      </c>
      <c r="H28" s="8">
        <v>3.8</v>
      </c>
      <c r="I28" s="8">
        <v>1</v>
      </c>
      <c r="J28" s="8">
        <v>2.5</v>
      </c>
      <c r="K28" s="8">
        <v>4</v>
      </c>
      <c r="L28" s="8">
        <v>4</v>
      </c>
      <c r="M28" s="7"/>
      <c r="N28" s="7" t="s">
        <v>54</v>
      </c>
      <c r="O28" s="7" t="s">
        <v>76</v>
      </c>
      <c r="P28" s="7" t="s">
        <v>87</v>
      </c>
      <c r="Q28" s="7" t="s">
        <v>294</v>
      </c>
      <c r="R28" s="7" t="s">
        <v>295</v>
      </c>
      <c r="S28" s="7" t="s">
        <v>296</v>
      </c>
      <c r="T28" s="7" t="s">
        <v>718</v>
      </c>
      <c r="U28" s="7" t="s">
        <v>298</v>
      </c>
      <c r="V28" s="7" t="s">
        <v>72</v>
      </c>
      <c r="W28" s="7" t="s">
        <v>299</v>
      </c>
      <c r="X28" s="7"/>
      <c r="Y28" s="14"/>
      <c r="Z28" s="16"/>
      <c r="AA28" s="7"/>
      <c r="AB28" s="7"/>
      <c r="AC28" s="7"/>
      <c r="AD28" s="7" t="s">
        <v>300</v>
      </c>
    </row>
    <row r="29" spans="1:30" ht="46.5" x14ac:dyDescent="0.35">
      <c r="A29" s="7">
        <v>28</v>
      </c>
      <c r="B29" s="7" t="s">
        <v>301</v>
      </c>
      <c r="C29" s="7" t="s">
        <v>119</v>
      </c>
      <c r="D29" s="7" t="s">
        <v>120</v>
      </c>
      <c r="E29" s="8">
        <f t="shared" si="0"/>
        <v>2.9249999999999998</v>
      </c>
      <c r="F29" s="8">
        <v>3</v>
      </c>
      <c r="G29" s="8">
        <v>3</v>
      </c>
      <c r="H29" s="8">
        <v>3.5</v>
      </c>
      <c r="I29" s="8">
        <v>1</v>
      </c>
      <c r="J29" s="8">
        <v>3.5</v>
      </c>
      <c r="K29" s="8">
        <v>4</v>
      </c>
      <c r="L29" s="8">
        <v>3</v>
      </c>
      <c r="M29" s="7"/>
      <c r="N29" s="7" t="s">
        <v>97</v>
      </c>
      <c r="O29" s="7" t="s">
        <v>55</v>
      </c>
      <c r="P29" s="7" t="s">
        <v>232</v>
      </c>
      <c r="Q29" s="7" t="s">
        <v>302</v>
      </c>
      <c r="R29" s="7" t="s">
        <v>303</v>
      </c>
      <c r="S29" s="7" t="s">
        <v>304</v>
      </c>
      <c r="T29" s="7" t="s">
        <v>146</v>
      </c>
      <c r="U29" s="7" t="s">
        <v>147</v>
      </c>
      <c r="V29" s="7" t="s">
        <v>185</v>
      </c>
      <c r="W29" s="7" t="s">
        <v>305</v>
      </c>
      <c r="X29" s="7" t="s">
        <v>758</v>
      </c>
      <c r="Y29" s="14">
        <v>29436777</v>
      </c>
      <c r="Z29" s="16">
        <v>5067421</v>
      </c>
      <c r="AA29" s="18">
        <v>0.17199999999999999</v>
      </c>
      <c r="AB29" s="18">
        <v>-0.02</v>
      </c>
      <c r="AC29" s="7">
        <v>62.2</v>
      </c>
      <c r="AD29" s="7" t="s">
        <v>306</v>
      </c>
    </row>
    <row r="30" spans="1:30" ht="46.5" x14ac:dyDescent="0.35">
      <c r="A30" s="7">
        <v>29</v>
      </c>
      <c r="B30" s="7" t="s">
        <v>307</v>
      </c>
      <c r="C30" s="7" t="s">
        <v>119</v>
      </c>
      <c r="D30" s="7" t="s">
        <v>120</v>
      </c>
      <c r="E30" s="8">
        <f t="shared" si="0"/>
        <v>2.92</v>
      </c>
      <c r="F30" s="8">
        <v>3.5</v>
      </c>
      <c r="G30" s="8">
        <v>3</v>
      </c>
      <c r="H30" s="8">
        <v>3.8</v>
      </c>
      <c r="I30" s="8">
        <v>1</v>
      </c>
      <c r="J30" s="8">
        <v>3</v>
      </c>
      <c r="K30" s="8">
        <v>2.5</v>
      </c>
      <c r="L30" s="8">
        <v>2</v>
      </c>
      <c r="M30" s="7"/>
      <c r="N30" s="7" t="s">
        <v>152</v>
      </c>
      <c r="O30" s="7" t="s">
        <v>55</v>
      </c>
      <c r="P30" s="7" t="s">
        <v>204</v>
      </c>
      <c r="Q30" s="7" t="s">
        <v>308</v>
      </c>
      <c r="R30" s="7" t="s">
        <v>309</v>
      </c>
      <c r="S30" s="7" t="s">
        <v>310</v>
      </c>
      <c r="T30" s="7" t="s">
        <v>719</v>
      </c>
      <c r="U30" s="7" t="s">
        <v>312</v>
      </c>
      <c r="V30" s="7" t="s">
        <v>282</v>
      </c>
      <c r="W30" s="7" t="s">
        <v>313</v>
      </c>
      <c r="X30" s="7" t="s">
        <v>759</v>
      </c>
      <c r="Y30" s="14">
        <v>18296698</v>
      </c>
      <c r="Z30" s="16">
        <v>4219575</v>
      </c>
      <c r="AA30" s="18">
        <v>0.23100000000000001</v>
      </c>
      <c r="AB30" s="18">
        <v>3.7999999999999999E-2</v>
      </c>
      <c r="AC30" s="7">
        <v>72.2</v>
      </c>
      <c r="AD30" s="7" t="s">
        <v>314</v>
      </c>
    </row>
    <row r="31" spans="1:30" ht="31" x14ac:dyDescent="0.35">
      <c r="A31" s="7">
        <v>30</v>
      </c>
      <c r="B31" s="7" t="s">
        <v>315</v>
      </c>
      <c r="C31" s="7" t="s">
        <v>119</v>
      </c>
      <c r="D31" s="7" t="s">
        <v>120</v>
      </c>
      <c r="E31" s="8">
        <f t="shared" si="0"/>
        <v>2.9099999999999997</v>
      </c>
      <c r="F31" s="8">
        <v>3.6</v>
      </c>
      <c r="G31" s="8">
        <v>2</v>
      </c>
      <c r="H31" s="8">
        <v>4.2</v>
      </c>
      <c r="I31" s="8">
        <v>1</v>
      </c>
      <c r="J31" s="8">
        <v>2.5</v>
      </c>
      <c r="K31" s="8">
        <v>4</v>
      </c>
      <c r="L31" s="8">
        <v>2</v>
      </c>
      <c r="M31" s="7"/>
      <c r="N31" s="7" t="s">
        <v>152</v>
      </c>
      <c r="O31" s="7" t="s">
        <v>55</v>
      </c>
      <c r="P31" s="7" t="s">
        <v>316</v>
      </c>
      <c r="Q31" s="7" t="s">
        <v>317</v>
      </c>
      <c r="R31" s="7" t="s">
        <v>318</v>
      </c>
      <c r="S31" s="7" t="s">
        <v>319</v>
      </c>
      <c r="T31" s="7" t="s">
        <v>320</v>
      </c>
      <c r="U31" s="7" t="s">
        <v>321</v>
      </c>
      <c r="V31" s="7" t="s">
        <v>322</v>
      </c>
      <c r="W31" s="7" t="s">
        <v>323</v>
      </c>
      <c r="X31" s="7" t="s">
        <v>760</v>
      </c>
      <c r="Y31" s="14">
        <v>19541363</v>
      </c>
      <c r="Z31" s="16">
        <v>8169717</v>
      </c>
      <c r="AA31" s="18">
        <v>0.41799999999999998</v>
      </c>
      <c r="AB31" s="18">
        <v>3.5000000000000003E-2</v>
      </c>
      <c r="AC31" s="7">
        <v>152.4</v>
      </c>
      <c r="AD31" s="7" t="s">
        <v>324</v>
      </c>
    </row>
    <row r="32" spans="1:30" ht="31" x14ac:dyDescent="0.35">
      <c r="A32" s="7">
        <v>31</v>
      </c>
      <c r="B32" s="7" t="s">
        <v>325</v>
      </c>
      <c r="C32" s="7" t="s">
        <v>119</v>
      </c>
      <c r="D32" s="7" t="s">
        <v>120</v>
      </c>
      <c r="E32" s="8">
        <f t="shared" si="0"/>
        <v>2.9</v>
      </c>
      <c r="F32" s="8">
        <v>3</v>
      </c>
      <c r="G32" s="8">
        <v>4</v>
      </c>
      <c r="H32" s="8">
        <v>4</v>
      </c>
      <c r="I32" s="8">
        <v>1</v>
      </c>
      <c r="J32" s="8">
        <v>2.5</v>
      </c>
      <c r="K32" s="8">
        <v>2</v>
      </c>
      <c r="L32" s="8">
        <v>4</v>
      </c>
      <c r="M32" s="7"/>
      <c r="N32" s="7" t="s">
        <v>54</v>
      </c>
      <c r="O32" s="7" t="s">
        <v>76</v>
      </c>
      <c r="P32" s="7" t="s">
        <v>77</v>
      </c>
      <c r="Q32" s="7" t="s">
        <v>326</v>
      </c>
      <c r="R32" s="7" t="s">
        <v>327</v>
      </c>
      <c r="S32" s="7" t="s">
        <v>328</v>
      </c>
      <c r="T32" s="7" t="s">
        <v>329</v>
      </c>
      <c r="U32" s="7" t="s">
        <v>330</v>
      </c>
      <c r="V32" s="7" t="s">
        <v>331</v>
      </c>
      <c r="W32" s="7" t="s">
        <v>332</v>
      </c>
      <c r="X32" s="7"/>
      <c r="Y32" s="14"/>
      <c r="Z32" s="16"/>
      <c r="AA32" s="7"/>
      <c r="AB32" s="7"/>
      <c r="AC32" s="7"/>
      <c r="AD32" s="7" t="s">
        <v>333</v>
      </c>
    </row>
    <row r="33" spans="1:30" ht="31" x14ac:dyDescent="0.35">
      <c r="A33" s="7">
        <v>32</v>
      </c>
      <c r="B33" s="7" t="s">
        <v>334</v>
      </c>
      <c r="C33" s="7" t="s">
        <v>119</v>
      </c>
      <c r="D33" s="7" t="s">
        <v>120</v>
      </c>
      <c r="E33" s="8">
        <f t="shared" si="0"/>
        <v>2.875</v>
      </c>
      <c r="F33" s="8">
        <v>3</v>
      </c>
      <c r="G33" s="8">
        <v>3</v>
      </c>
      <c r="H33" s="8">
        <v>4.5</v>
      </c>
      <c r="I33" s="8">
        <v>1</v>
      </c>
      <c r="J33" s="8">
        <v>3.5</v>
      </c>
      <c r="K33" s="8">
        <v>2</v>
      </c>
      <c r="L33" s="8">
        <v>4</v>
      </c>
      <c r="M33" s="7"/>
      <c r="N33" s="7" t="s">
        <v>97</v>
      </c>
      <c r="O33" s="7" t="s">
        <v>55</v>
      </c>
      <c r="P33" s="7" t="s">
        <v>98</v>
      </c>
      <c r="Q33" s="7" t="s">
        <v>335</v>
      </c>
      <c r="R33" s="7" t="s">
        <v>336</v>
      </c>
      <c r="S33" s="7" t="s">
        <v>337</v>
      </c>
      <c r="T33" s="7" t="s">
        <v>146</v>
      </c>
      <c r="U33" s="7" t="s">
        <v>147</v>
      </c>
      <c r="V33" s="7" t="s">
        <v>200</v>
      </c>
      <c r="W33" s="7" t="s">
        <v>338</v>
      </c>
      <c r="X33" s="7" t="s">
        <v>761</v>
      </c>
      <c r="Y33" s="14">
        <v>8262973</v>
      </c>
      <c r="Z33" s="16">
        <v>647539</v>
      </c>
      <c r="AA33" s="18">
        <v>7.8E-2</v>
      </c>
      <c r="AB33" s="18">
        <v>-4.2000000000000003E-2</v>
      </c>
      <c r="AC33" s="7">
        <v>26.3</v>
      </c>
      <c r="AD33" s="7" t="s">
        <v>339</v>
      </c>
    </row>
    <row r="34" spans="1:30" ht="46.5" x14ac:dyDescent="0.35">
      <c r="A34" s="7">
        <v>33</v>
      </c>
      <c r="B34" s="7" t="s">
        <v>340</v>
      </c>
      <c r="C34" s="7" t="s">
        <v>119</v>
      </c>
      <c r="D34" s="7" t="s">
        <v>120</v>
      </c>
      <c r="E34" s="8">
        <f t="shared" ref="E34:E65" si="1">SUM(F34*0.3,G34*0.2,H34*0.15,I34*0.15,J34*0.1,K34*0.1)</f>
        <v>2.82</v>
      </c>
      <c r="F34" s="8">
        <v>3.9</v>
      </c>
      <c r="G34" s="8">
        <v>2</v>
      </c>
      <c r="H34" s="8">
        <v>4</v>
      </c>
      <c r="I34" s="8">
        <v>1</v>
      </c>
      <c r="J34" s="8">
        <v>2.5</v>
      </c>
      <c r="K34" s="8">
        <v>2.5</v>
      </c>
      <c r="L34" s="8">
        <v>2</v>
      </c>
      <c r="M34" s="7"/>
      <c r="N34" s="7" t="s">
        <v>152</v>
      </c>
      <c r="O34" s="7" t="s">
        <v>55</v>
      </c>
      <c r="P34" s="7" t="s">
        <v>316</v>
      </c>
      <c r="Q34" s="7" t="s">
        <v>341</v>
      </c>
      <c r="R34" s="7" t="s">
        <v>342</v>
      </c>
      <c r="S34" s="7" t="s">
        <v>343</v>
      </c>
      <c r="T34" s="7" t="s">
        <v>720</v>
      </c>
      <c r="U34" s="7" t="s">
        <v>345</v>
      </c>
      <c r="V34" s="7" t="s">
        <v>158</v>
      </c>
      <c r="W34" s="7" t="s">
        <v>346</v>
      </c>
      <c r="X34" s="7"/>
      <c r="Y34" s="14"/>
      <c r="Z34" s="16"/>
      <c r="AA34" s="7"/>
      <c r="AB34" s="7"/>
      <c r="AC34" s="7"/>
      <c r="AD34" s="7" t="s">
        <v>347</v>
      </c>
    </row>
    <row r="35" spans="1:30" ht="31" x14ac:dyDescent="0.35">
      <c r="A35" s="7">
        <v>34</v>
      </c>
      <c r="B35" s="7" t="s">
        <v>348</v>
      </c>
      <c r="C35" s="7" t="s">
        <v>119</v>
      </c>
      <c r="D35" s="7" t="s">
        <v>120</v>
      </c>
      <c r="E35" s="8">
        <f t="shared" si="1"/>
        <v>2.81</v>
      </c>
      <c r="F35" s="8">
        <v>3.6</v>
      </c>
      <c r="G35" s="8">
        <v>3</v>
      </c>
      <c r="H35" s="8">
        <v>4.2</v>
      </c>
      <c r="I35" s="8">
        <v>1</v>
      </c>
      <c r="J35" s="8">
        <v>2.5</v>
      </c>
      <c r="K35" s="8">
        <v>1</v>
      </c>
      <c r="L35" s="8">
        <v>3</v>
      </c>
      <c r="M35" s="7"/>
      <c r="N35" s="7" t="s">
        <v>97</v>
      </c>
      <c r="O35" s="7" t="s">
        <v>55</v>
      </c>
      <c r="P35" s="7" t="s">
        <v>142</v>
      </c>
      <c r="Q35" s="7" t="s">
        <v>349</v>
      </c>
      <c r="R35" s="7" t="s">
        <v>350</v>
      </c>
      <c r="S35" s="7" t="s">
        <v>351</v>
      </c>
      <c r="T35" s="7" t="s">
        <v>352</v>
      </c>
      <c r="U35" s="7" t="s">
        <v>353</v>
      </c>
      <c r="V35" s="7" t="s">
        <v>137</v>
      </c>
      <c r="W35" s="7" t="s">
        <v>354</v>
      </c>
      <c r="X35" s="7" t="s">
        <v>762</v>
      </c>
      <c r="Y35" s="14">
        <v>39117557</v>
      </c>
      <c r="Z35" s="16">
        <v>13988483</v>
      </c>
      <c r="AA35" s="18">
        <v>0.35799999999999998</v>
      </c>
      <c r="AB35" s="18">
        <v>-4.1000000000000002E-2</v>
      </c>
      <c r="AC35" s="7">
        <v>132.6</v>
      </c>
      <c r="AD35" s="7" t="s">
        <v>355</v>
      </c>
    </row>
    <row r="36" spans="1:30" ht="31" x14ac:dyDescent="0.35">
      <c r="A36" s="7">
        <v>35</v>
      </c>
      <c r="B36" s="7" t="s">
        <v>356</v>
      </c>
      <c r="C36" s="7" t="s">
        <v>119</v>
      </c>
      <c r="D36" s="7" t="s">
        <v>120</v>
      </c>
      <c r="E36" s="8">
        <f t="shared" si="1"/>
        <v>2.8099999999999996</v>
      </c>
      <c r="F36" s="8">
        <v>3.6</v>
      </c>
      <c r="G36" s="8">
        <v>2</v>
      </c>
      <c r="H36" s="8">
        <v>4.2</v>
      </c>
      <c r="I36" s="8">
        <v>1</v>
      </c>
      <c r="J36" s="8">
        <v>2.5</v>
      </c>
      <c r="K36" s="8">
        <v>3</v>
      </c>
      <c r="L36" s="8">
        <v>2</v>
      </c>
      <c r="M36" s="7"/>
      <c r="N36" s="7" t="s">
        <v>213</v>
      </c>
      <c r="O36" s="7" t="s">
        <v>76</v>
      </c>
      <c r="P36" s="7" t="s">
        <v>357</v>
      </c>
      <c r="Q36" s="7" t="s">
        <v>358</v>
      </c>
      <c r="R36" s="7" t="s">
        <v>359</v>
      </c>
      <c r="S36" s="7" t="s">
        <v>360</v>
      </c>
      <c r="T36" s="7" t="s">
        <v>361</v>
      </c>
      <c r="U36" s="7" t="s">
        <v>362</v>
      </c>
      <c r="V36" s="7" t="s">
        <v>363</v>
      </c>
      <c r="W36" s="7" t="s">
        <v>364</v>
      </c>
      <c r="X36" s="7"/>
      <c r="Y36" s="14"/>
      <c r="Z36" s="16"/>
      <c r="AA36" s="7"/>
      <c r="AB36" s="7"/>
      <c r="AC36" s="7"/>
      <c r="AD36" s="7" t="s">
        <v>365</v>
      </c>
    </row>
    <row r="37" spans="1:30" ht="46.5" x14ac:dyDescent="0.35">
      <c r="A37" s="7">
        <v>36</v>
      </c>
      <c r="B37" s="7" t="s">
        <v>366</v>
      </c>
      <c r="C37" s="7" t="s">
        <v>119</v>
      </c>
      <c r="D37" s="7" t="s">
        <v>120</v>
      </c>
      <c r="E37" s="8">
        <f t="shared" si="1"/>
        <v>2.8</v>
      </c>
      <c r="F37" s="8">
        <v>3</v>
      </c>
      <c r="G37" s="8">
        <v>3</v>
      </c>
      <c r="H37" s="8">
        <v>4</v>
      </c>
      <c r="I37" s="8">
        <v>1</v>
      </c>
      <c r="J37" s="8">
        <v>2.5</v>
      </c>
      <c r="K37" s="8">
        <v>3</v>
      </c>
      <c r="L37" s="8">
        <v>4</v>
      </c>
      <c r="M37" s="7"/>
      <c r="N37" s="7" t="s">
        <v>97</v>
      </c>
      <c r="O37" s="7" t="s">
        <v>55</v>
      </c>
      <c r="P37" s="7" t="s">
        <v>98</v>
      </c>
      <c r="Q37" s="7" t="s">
        <v>367</v>
      </c>
      <c r="R37" s="7" t="s">
        <v>368</v>
      </c>
      <c r="S37" s="7" t="s">
        <v>369</v>
      </c>
      <c r="T37" s="7" t="s">
        <v>146</v>
      </c>
      <c r="U37" s="7" t="s">
        <v>147</v>
      </c>
      <c r="V37" s="7" t="s">
        <v>167</v>
      </c>
      <c r="W37" s="7" t="s">
        <v>370</v>
      </c>
      <c r="X37" s="7" t="s">
        <v>763</v>
      </c>
      <c r="Y37" s="14">
        <v>42944984</v>
      </c>
      <c r="Z37" s="16">
        <v>9888300</v>
      </c>
      <c r="AA37" s="18">
        <v>0.23</v>
      </c>
      <c r="AB37" s="18">
        <v>-1.0999999999999999E-2</v>
      </c>
      <c r="AC37" s="7">
        <v>102</v>
      </c>
      <c r="AD37" s="7" t="s">
        <v>371</v>
      </c>
    </row>
    <row r="38" spans="1:30" ht="31" x14ac:dyDescent="0.35">
      <c r="A38" s="7">
        <v>37</v>
      </c>
      <c r="B38" s="7" t="s">
        <v>372</v>
      </c>
      <c r="C38" s="7" t="s">
        <v>119</v>
      </c>
      <c r="D38" s="7" t="s">
        <v>120</v>
      </c>
      <c r="E38" s="8">
        <f t="shared" si="1"/>
        <v>2.7749999999999999</v>
      </c>
      <c r="F38" s="8">
        <v>3</v>
      </c>
      <c r="G38" s="8">
        <v>3</v>
      </c>
      <c r="H38" s="8">
        <v>4.5</v>
      </c>
      <c r="I38" s="8">
        <v>1</v>
      </c>
      <c r="J38" s="8">
        <v>3.5</v>
      </c>
      <c r="K38" s="8">
        <v>1</v>
      </c>
      <c r="L38" s="8">
        <v>3</v>
      </c>
      <c r="M38" s="7"/>
      <c r="N38" s="7" t="s">
        <v>97</v>
      </c>
      <c r="O38" s="7" t="s">
        <v>55</v>
      </c>
      <c r="P38" s="7" t="s">
        <v>142</v>
      </c>
      <c r="Q38" s="7" t="s">
        <v>373</v>
      </c>
      <c r="R38" s="7" t="s">
        <v>374</v>
      </c>
      <c r="S38" s="7" t="s">
        <v>375</v>
      </c>
      <c r="T38" s="7" t="s">
        <v>146</v>
      </c>
      <c r="U38" s="7" t="s">
        <v>147</v>
      </c>
      <c r="V38" s="7" t="s">
        <v>185</v>
      </c>
      <c r="W38" s="7" t="s">
        <v>376</v>
      </c>
      <c r="X38" s="7" t="s">
        <v>764</v>
      </c>
      <c r="Y38" s="14">
        <v>20523312</v>
      </c>
      <c r="Z38" s="16">
        <v>5748239</v>
      </c>
      <c r="AA38" s="18">
        <v>0.28000000000000003</v>
      </c>
      <c r="AB38" s="18">
        <v>0.08</v>
      </c>
      <c r="AC38" s="7">
        <v>93</v>
      </c>
      <c r="AD38" s="7" t="s">
        <v>377</v>
      </c>
    </row>
    <row r="39" spans="1:30" ht="31" x14ac:dyDescent="0.35">
      <c r="A39" s="7">
        <v>38</v>
      </c>
      <c r="B39" s="7" t="s">
        <v>378</v>
      </c>
      <c r="C39" s="7" t="s">
        <v>119</v>
      </c>
      <c r="D39" s="7" t="s">
        <v>120</v>
      </c>
      <c r="E39" s="8">
        <f t="shared" si="1"/>
        <v>2.7699999999999996</v>
      </c>
      <c r="F39" s="8">
        <v>3</v>
      </c>
      <c r="G39" s="8">
        <v>3</v>
      </c>
      <c r="H39" s="8">
        <v>3.8</v>
      </c>
      <c r="I39" s="8">
        <v>1</v>
      </c>
      <c r="J39" s="8">
        <v>2.5</v>
      </c>
      <c r="K39" s="8">
        <v>3</v>
      </c>
      <c r="L39" s="8">
        <v>3</v>
      </c>
      <c r="M39" s="7"/>
      <c r="N39" s="7" t="s">
        <v>54</v>
      </c>
      <c r="O39" s="7" t="s">
        <v>76</v>
      </c>
      <c r="P39" s="7" t="s">
        <v>87</v>
      </c>
      <c r="Q39" s="7" t="s">
        <v>379</v>
      </c>
      <c r="R39" s="7" t="s">
        <v>380</v>
      </c>
      <c r="S39" s="7" t="s">
        <v>381</v>
      </c>
      <c r="T39" s="7" t="s">
        <v>721</v>
      </c>
      <c r="U39" s="7" t="s">
        <v>383</v>
      </c>
      <c r="V39" s="7" t="s">
        <v>384</v>
      </c>
      <c r="W39" s="7" t="s">
        <v>385</v>
      </c>
      <c r="X39" s="7" t="s">
        <v>765</v>
      </c>
      <c r="Y39" s="14">
        <v>12874504</v>
      </c>
      <c r="Z39" s="16">
        <v>2727112</v>
      </c>
      <c r="AA39" s="18">
        <v>0.21199999999999999</v>
      </c>
      <c r="AB39" s="18">
        <v>-6.9000000000000006E-2</v>
      </c>
      <c r="AC39" s="7">
        <v>66.3</v>
      </c>
      <c r="AD39" s="7" t="s">
        <v>386</v>
      </c>
    </row>
    <row r="40" spans="1:30" ht="31" x14ac:dyDescent="0.35">
      <c r="A40" s="7">
        <v>39</v>
      </c>
      <c r="B40" s="7" t="s">
        <v>387</v>
      </c>
      <c r="C40" s="7" t="s">
        <v>119</v>
      </c>
      <c r="D40" s="7" t="s">
        <v>120</v>
      </c>
      <c r="E40" s="8">
        <f t="shared" si="1"/>
        <v>2.75</v>
      </c>
      <c r="F40" s="8">
        <v>3</v>
      </c>
      <c r="G40" s="8">
        <v>3</v>
      </c>
      <c r="H40" s="8">
        <v>4</v>
      </c>
      <c r="I40" s="8">
        <v>1</v>
      </c>
      <c r="J40" s="8">
        <v>1.5</v>
      </c>
      <c r="K40" s="8">
        <v>3.5</v>
      </c>
      <c r="L40" s="8">
        <v>4</v>
      </c>
      <c r="M40" s="7"/>
      <c r="N40" s="7" t="s">
        <v>54</v>
      </c>
      <c r="O40" s="7" t="s">
        <v>76</v>
      </c>
      <c r="P40" s="7" t="s">
        <v>77</v>
      </c>
      <c r="Q40" s="7" t="s">
        <v>388</v>
      </c>
      <c r="R40" s="7" t="s">
        <v>389</v>
      </c>
      <c r="S40" s="7" t="s">
        <v>390</v>
      </c>
      <c r="T40" s="7" t="s">
        <v>391</v>
      </c>
      <c r="U40" s="7" t="s">
        <v>392</v>
      </c>
      <c r="V40" s="7" t="s">
        <v>393</v>
      </c>
      <c r="W40" s="7" t="s">
        <v>394</v>
      </c>
      <c r="X40" s="7" t="s">
        <v>766</v>
      </c>
      <c r="Y40" s="14">
        <v>6280324</v>
      </c>
      <c r="Z40" s="16">
        <v>1731421</v>
      </c>
      <c r="AA40" s="18">
        <v>0.27600000000000002</v>
      </c>
      <c r="AB40" s="18">
        <v>-8.9999999999999993E-3</v>
      </c>
      <c r="AC40" s="7">
        <v>92.9</v>
      </c>
      <c r="AD40" s="7" t="s">
        <v>395</v>
      </c>
    </row>
    <row r="41" spans="1:30" ht="31" x14ac:dyDescent="0.35">
      <c r="A41" s="7">
        <v>40</v>
      </c>
      <c r="B41" s="7" t="s">
        <v>396</v>
      </c>
      <c r="C41" s="7" t="s">
        <v>119</v>
      </c>
      <c r="D41" s="7" t="s">
        <v>120</v>
      </c>
      <c r="E41" s="8">
        <f t="shared" si="1"/>
        <v>2.75</v>
      </c>
      <c r="F41" s="8">
        <v>3.5</v>
      </c>
      <c r="G41" s="8">
        <v>2</v>
      </c>
      <c r="H41" s="8">
        <v>4</v>
      </c>
      <c r="I41" s="8">
        <v>1</v>
      </c>
      <c r="J41" s="8">
        <v>2.5</v>
      </c>
      <c r="K41" s="8">
        <v>3</v>
      </c>
      <c r="L41" s="8">
        <v>3</v>
      </c>
      <c r="M41" s="7"/>
      <c r="N41" s="7" t="s">
        <v>54</v>
      </c>
      <c r="O41" s="7" t="s">
        <v>55</v>
      </c>
      <c r="P41" s="7" t="s">
        <v>131</v>
      </c>
      <c r="Q41" s="7" t="s">
        <v>397</v>
      </c>
      <c r="R41" s="7" t="s">
        <v>398</v>
      </c>
      <c r="S41" s="7" t="s">
        <v>399</v>
      </c>
      <c r="T41" s="7" t="s">
        <v>722</v>
      </c>
      <c r="U41" s="7" t="s">
        <v>401</v>
      </c>
      <c r="V41" s="7" t="s">
        <v>402</v>
      </c>
      <c r="W41" s="7" t="s">
        <v>403</v>
      </c>
      <c r="X41" s="7"/>
      <c r="Y41" s="14"/>
      <c r="Z41" s="16"/>
      <c r="AA41" s="7"/>
      <c r="AB41" s="7"/>
      <c r="AC41" s="7"/>
      <c r="AD41" s="7" t="s">
        <v>404</v>
      </c>
    </row>
    <row r="42" spans="1:30" ht="31" x14ac:dyDescent="0.35">
      <c r="A42" s="7">
        <v>41</v>
      </c>
      <c r="B42" s="7" t="s">
        <v>405</v>
      </c>
      <c r="C42" s="7" t="s">
        <v>119</v>
      </c>
      <c r="D42" s="7" t="s">
        <v>120</v>
      </c>
      <c r="E42" s="8">
        <f t="shared" si="1"/>
        <v>2.75</v>
      </c>
      <c r="F42" s="8">
        <v>3</v>
      </c>
      <c r="G42" s="8">
        <v>3</v>
      </c>
      <c r="H42" s="8">
        <v>4</v>
      </c>
      <c r="I42" s="8">
        <v>1</v>
      </c>
      <c r="J42" s="8">
        <v>2.5</v>
      </c>
      <c r="K42" s="8">
        <v>2.5</v>
      </c>
      <c r="L42" s="8">
        <v>3</v>
      </c>
      <c r="M42" s="7"/>
      <c r="N42" s="7" t="s">
        <v>54</v>
      </c>
      <c r="O42" s="7" t="s">
        <v>76</v>
      </c>
      <c r="P42" s="7" t="s">
        <v>77</v>
      </c>
      <c r="Q42" s="7" t="s">
        <v>406</v>
      </c>
      <c r="R42" s="7" t="s">
        <v>407</v>
      </c>
      <c r="S42" s="7" t="s">
        <v>408</v>
      </c>
      <c r="T42" s="7" t="s">
        <v>723</v>
      </c>
      <c r="U42" s="7" t="s">
        <v>410</v>
      </c>
      <c r="V42" s="7" t="s">
        <v>228</v>
      </c>
      <c r="W42" s="7" t="s">
        <v>411</v>
      </c>
      <c r="X42" s="7" t="s">
        <v>767</v>
      </c>
      <c r="Y42" s="14">
        <v>9837710</v>
      </c>
      <c r="Z42" s="16">
        <v>2663549</v>
      </c>
      <c r="AA42" s="18">
        <v>0.27100000000000002</v>
      </c>
      <c r="AB42" s="18">
        <v>2.3E-2</v>
      </c>
      <c r="AC42" s="7">
        <v>85.6</v>
      </c>
      <c r="AD42" s="7" t="s">
        <v>412</v>
      </c>
    </row>
    <row r="43" spans="1:30" ht="31" x14ac:dyDescent="0.35">
      <c r="A43" s="7">
        <v>42</v>
      </c>
      <c r="B43" s="7" t="s">
        <v>413</v>
      </c>
      <c r="C43" s="7" t="s">
        <v>119</v>
      </c>
      <c r="D43" s="7" t="s">
        <v>120</v>
      </c>
      <c r="E43" s="8">
        <f t="shared" si="1"/>
        <v>2.65</v>
      </c>
      <c r="F43" s="8">
        <v>2.5</v>
      </c>
      <c r="G43" s="8">
        <v>2</v>
      </c>
      <c r="H43" s="8">
        <v>4</v>
      </c>
      <c r="I43" s="8">
        <v>1</v>
      </c>
      <c r="J43" s="8">
        <v>2.5</v>
      </c>
      <c r="K43" s="8">
        <v>5</v>
      </c>
      <c r="L43" s="8">
        <v>1</v>
      </c>
      <c r="M43" s="7"/>
      <c r="N43" s="7" t="s">
        <v>213</v>
      </c>
      <c r="O43" s="7" t="s">
        <v>76</v>
      </c>
      <c r="P43" s="7" t="s">
        <v>262</v>
      </c>
      <c r="Q43" s="7" t="s">
        <v>414</v>
      </c>
      <c r="R43" s="7" t="s">
        <v>415</v>
      </c>
      <c r="S43" s="7" t="s">
        <v>416</v>
      </c>
      <c r="T43" s="7" t="s">
        <v>417</v>
      </c>
      <c r="U43" s="7" t="s">
        <v>418</v>
      </c>
      <c r="V43" s="7" t="s">
        <v>419</v>
      </c>
      <c r="W43" s="7" t="s">
        <v>420</v>
      </c>
      <c r="X43" s="7" t="s">
        <v>768</v>
      </c>
      <c r="Y43" s="14">
        <v>12229118</v>
      </c>
      <c r="Z43" s="16">
        <v>3190369</v>
      </c>
      <c r="AA43" s="18">
        <v>0.26100000000000001</v>
      </c>
      <c r="AB43" s="18">
        <v>-0.223</v>
      </c>
      <c r="AC43" s="7">
        <v>81.8</v>
      </c>
      <c r="AD43" s="7" t="s">
        <v>421</v>
      </c>
    </row>
    <row r="44" spans="1:30" ht="31" x14ac:dyDescent="0.35">
      <c r="A44" s="7">
        <v>43</v>
      </c>
      <c r="B44" s="7" t="s">
        <v>422</v>
      </c>
      <c r="C44" s="7" t="s">
        <v>119</v>
      </c>
      <c r="D44" s="7" t="s">
        <v>120</v>
      </c>
      <c r="E44" s="8">
        <f t="shared" si="1"/>
        <v>2.625</v>
      </c>
      <c r="F44" s="8">
        <v>3</v>
      </c>
      <c r="G44" s="8">
        <v>3</v>
      </c>
      <c r="H44" s="8">
        <v>3.5</v>
      </c>
      <c r="I44" s="8">
        <v>1</v>
      </c>
      <c r="J44" s="8">
        <v>2.5</v>
      </c>
      <c r="K44" s="8">
        <v>2</v>
      </c>
      <c r="L44" s="8">
        <v>3</v>
      </c>
      <c r="M44" s="7"/>
      <c r="N44" s="7" t="s">
        <v>54</v>
      </c>
      <c r="O44" s="7" t="s">
        <v>76</v>
      </c>
      <c r="P44" s="7" t="s">
        <v>121</v>
      </c>
      <c r="Q44" s="7" t="s">
        <v>423</v>
      </c>
      <c r="R44" s="7" t="s">
        <v>424</v>
      </c>
      <c r="S44" s="7" t="s">
        <v>425</v>
      </c>
      <c r="T44" s="7" t="s">
        <v>724</v>
      </c>
      <c r="U44" s="7" t="s">
        <v>427</v>
      </c>
      <c r="V44" s="7" t="s">
        <v>185</v>
      </c>
      <c r="W44" s="7" t="s">
        <v>428</v>
      </c>
      <c r="X44" s="7" t="s">
        <v>769</v>
      </c>
      <c r="Y44" s="14">
        <v>24145050</v>
      </c>
      <c r="Z44" s="16">
        <v>10543149</v>
      </c>
      <c r="AA44" s="18">
        <v>0.437</v>
      </c>
      <c r="AB44" s="18">
        <v>-6.5000000000000002E-2</v>
      </c>
      <c r="AC44" s="7">
        <v>145.6</v>
      </c>
      <c r="AD44" s="7" t="s">
        <v>429</v>
      </c>
    </row>
    <row r="45" spans="1:30" ht="46.5" x14ac:dyDescent="0.35">
      <c r="A45" s="7">
        <v>44</v>
      </c>
      <c r="B45" s="7" t="s">
        <v>430</v>
      </c>
      <c r="C45" s="7" t="s">
        <v>431</v>
      </c>
      <c r="D45" s="7" t="s">
        <v>432</v>
      </c>
      <c r="E45" s="8">
        <f t="shared" si="1"/>
        <v>2.5999999999999996</v>
      </c>
      <c r="F45" s="8">
        <v>3.5</v>
      </c>
      <c r="G45" s="8">
        <v>1</v>
      </c>
      <c r="H45" s="8">
        <v>3</v>
      </c>
      <c r="I45" s="8">
        <v>1</v>
      </c>
      <c r="J45" s="8">
        <v>2.5</v>
      </c>
      <c r="K45" s="8">
        <v>5</v>
      </c>
      <c r="L45" s="8">
        <v>3</v>
      </c>
      <c r="M45" s="7"/>
      <c r="N45" s="7" t="s">
        <v>152</v>
      </c>
      <c r="O45" s="7" t="s">
        <v>55</v>
      </c>
      <c r="P45" s="7" t="s">
        <v>131</v>
      </c>
      <c r="Q45" s="7" t="s">
        <v>433</v>
      </c>
      <c r="R45" s="7" t="s">
        <v>434</v>
      </c>
      <c r="S45" s="7" t="s">
        <v>435</v>
      </c>
      <c r="T45" s="7" t="s">
        <v>725</v>
      </c>
      <c r="U45" s="7" t="s">
        <v>437</v>
      </c>
      <c r="V45" s="7" t="s">
        <v>185</v>
      </c>
      <c r="W45" s="7" t="s">
        <v>438</v>
      </c>
      <c r="X45" s="7" t="s">
        <v>770</v>
      </c>
      <c r="Y45" s="14">
        <v>17132291</v>
      </c>
      <c r="Z45" s="16">
        <v>5130184</v>
      </c>
      <c r="AA45" s="18">
        <v>0.29899999999999999</v>
      </c>
      <c r="AB45" s="18">
        <v>-3.2000000000000001E-2</v>
      </c>
      <c r="AC45" s="7">
        <v>95.6</v>
      </c>
      <c r="AD45" s="7" t="s">
        <v>439</v>
      </c>
    </row>
    <row r="46" spans="1:30" ht="31" x14ac:dyDescent="0.35">
      <c r="A46" s="7">
        <v>45</v>
      </c>
      <c r="B46" s="7" t="s">
        <v>440</v>
      </c>
      <c r="C46" s="7" t="s">
        <v>431</v>
      </c>
      <c r="D46" s="7" t="s">
        <v>141</v>
      </c>
      <c r="E46" s="8">
        <f t="shared" si="1"/>
        <v>2.5499999999999998</v>
      </c>
      <c r="F46" s="8">
        <v>2.6</v>
      </c>
      <c r="G46" s="8">
        <v>2</v>
      </c>
      <c r="H46" s="8">
        <v>3.8</v>
      </c>
      <c r="I46" s="8">
        <v>1</v>
      </c>
      <c r="J46" s="8">
        <v>2.5</v>
      </c>
      <c r="K46" s="8">
        <v>4</v>
      </c>
      <c r="L46" s="8">
        <v>2</v>
      </c>
      <c r="M46" s="7"/>
      <c r="N46" s="7" t="s">
        <v>213</v>
      </c>
      <c r="O46" s="7" t="s">
        <v>76</v>
      </c>
      <c r="P46" s="7" t="s">
        <v>357</v>
      </c>
      <c r="Q46" s="7" t="s">
        <v>441</v>
      </c>
      <c r="R46" s="7" t="s">
        <v>442</v>
      </c>
      <c r="S46" s="7" t="s">
        <v>443</v>
      </c>
      <c r="T46" s="7" t="s">
        <v>726</v>
      </c>
      <c r="U46" s="7" t="s">
        <v>445</v>
      </c>
      <c r="V46" s="7" t="s">
        <v>158</v>
      </c>
      <c r="W46" s="7" t="s">
        <v>446</v>
      </c>
      <c r="X46" s="7" t="s">
        <v>771</v>
      </c>
      <c r="Y46" s="14">
        <v>11890474</v>
      </c>
      <c r="Z46" s="16">
        <v>4663945</v>
      </c>
      <c r="AA46" s="18">
        <v>0.39200000000000002</v>
      </c>
      <c r="AB46" s="18">
        <v>-6.9000000000000006E-2</v>
      </c>
      <c r="AC46" s="7">
        <v>144.9</v>
      </c>
      <c r="AD46" s="7" t="s">
        <v>447</v>
      </c>
    </row>
    <row r="47" spans="1:30" ht="46.5" x14ac:dyDescent="0.35">
      <c r="A47" s="7">
        <v>46</v>
      </c>
      <c r="B47" s="7" t="s">
        <v>448</v>
      </c>
      <c r="C47" s="7" t="s">
        <v>431</v>
      </c>
      <c r="D47" s="7" t="s">
        <v>432</v>
      </c>
      <c r="E47" s="8">
        <f t="shared" si="1"/>
        <v>2.5299999999999998</v>
      </c>
      <c r="F47" s="8">
        <v>3</v>
      </c>
      <c r="G47" s="8">
        <v>2</v>
      </c>
      <c r="H47" s="8">
        <v>4.2</v>
      </c>
      <c r="I47" s="8">
        <v>1</v>
      </c>
      <c r="J47" s="8">
        <v>2.5</v>
      </c>
      <c r="K47" s="8">
        <v>2</v>
      </c>
      <c r="L47" s="8">
        <v>3</v>
      </c>
      <c r="M47" s="7"/>
      <c r="N47" s="7" t="s">
        <v>54</v>
      </c>
      <c r="O47" s="7" t="s">
        <v>76</v>
      </c>
      <c r="P47" s="7" t="s">
        <v>121</v>
      </c>
      <c r="Q47" s="7" t="s">
        <v>449</v>
      </c>
      <c r="R47" s="7" t="s">
        <v>450</v>
      </c>
      <c r="S47" s="7" t="s">
        <v>451</v>
      </c>
      <c r="T47" s="7" t="s">
        <v>727</v>
      </c>
      <c r="U47" s="7" t="s">
        <v>453</v>
      </c>
      <c r="V47" s="7" t="s">
        <v>72</v>
      </c>
      <c r="W47" s="7" t="s">
        <v>454</v>
      </c>
      <c r="X47" s="7" t="s">
        <v>772</v>
      </c>
      <c r="Y47" s="14">
        <v>17028139</v>
      </c>
      <c r="Z47" s="16">
        <v>2071999</v>
      </c>
      <c r="AA47" s="18">
        <v>0.122</v>
      </c>
      <c r="AB47" s="18">
        <v>1.4999999999999999E-2</v>
      </c>
      <c r="AC47" s="7">
        <v>57.7</v>
      </c>
      <c r="AD47" s="7" t="s">
        <v>455</v>
      </c>
    </row>
    <row r="48" spans="1:30" ht="46.5" x14ac:dyDescent="0.35">
      <c r="A48" s="7">
        <v>47</v>
      </c>
      <c r="B48" s="7" t="s">
        <v>456</v>
      </c>
      <c r="C48" s="7" t="s">
        <v>431</v>
      </c>
      <c r="D48" s="7" t="s">
        <v>141</v>
      </c>
      <c r="E48" s="8">
        <f t="shared" si="1"/>
        <v>2.4500000000000002</v>
      </c>
      <c r="F48" s="8">
        <v>2.6</v>
      </c>
      <c r="G48" s="8">
        <v>2</v>
      </c>
      <c r="H48" s="8">
        <v>3.8</v>
      </c>
      <c r="I48" s="8">
        <v>1</v>
      </c>
      <c r="J48" s="8">
        <v>2.5</v>
      </c>
      <c r="K48" s="8">
        <v>3</v>
      </c>
      <c r="L48" s="8">
        <v>3</v>
      </c>
      <c r="M48" s="7"/>
      <c r="N48" s="7" t="s">
        <v>213</v>
      </c>
      <c r="O48" s="7" t="s">
        <v>76</v>
      </c>
      <c r="P48" s="7" t="s">
        <v>357</v>
      </c>
      <c r="Q48" s="7" t="s">
        <v>457</v>
      </c>
      <c r="R48" s="7" t="s">
        <v>458</v>
      </c>
      <c r="S48" s="7" t="s">
        <v>459</v>
      </c>
      <c r="T48" s="7" t="s">
        <v>728</v>
      </c>
      <c r="U48" s="7" t="s">
        <v>401</v>
      </c>
      <c r="V48" s="7" t="s">
        <v>158</v>
      </c>
      <c r="W48" s="7" t="s">
        <v>461</v>
      </c>
      <c r="X48" s="7" t="s">
        <v>773</v>
      </c>
      <c r="Y48" s="14">
        <v>6224198</v>
      </c>
      <c r="Z48" s="16">
        <v>2185986</v>
      </c>
      <c r="AA48" s="18">
        <v>0.35099999999999998</v>
      </c>
      <c r="AB48" s="18">
        <v>-5.8999999999999997E-2</v>
      </c>
      <c r="AC48" s="7">
        <v>146.5</v>
      </c>
      <c r="AD48" s="7" t="s">
        <v>462</v>
      </c>
    </row>
    <row r="49" spans="1:30" ht="31" x14ac:dyDescent="0.35">
      <c r="A49" s="7">
        <v>48</v>
      </c>
      <c r="B49" s="7" t="s">
        <v>463</v>
      </c>
      <c r="C49" s="7" t="s">
        <v>431</v>
      </c>
      <c r="D49" s="7" t="s">
        <v>432</v>
      </c>
      <c r="E49" s="8">
        <f t="shared" si="1"/>
        <v>2.3549999999999995</v>
      </c>
      <c r="F49" s="8">
        <v>3.6</v>
      </c>
      <c r="G49" s="8">
        <v>1</v>
      </c>
      <c r="H49" s="8">
        <v>2.5</v>
      </c>
      <c r="I49" s="8">
        <v>1</v>
      </c>
      <c r="J49" s="8">
        <v>2.5</v>
      </c>
      <c r="K49" s="8">
        <v>3</v>
      </c>
      <c r="L49" s="8">
        <v>1</v>
      </c>
      <c r="M49" s="7"/>
      <c r="N49" s="7" t="s">
        <v>152</v>
      </c>
      <c r="O49" s="7" t="s">
        <v>55</v>
      </c>
      <c r="P49" s="7" t="s">
        <v>204</v>
      </c>
      <c r="Q49" s="7" t="s">
        <v>464</v>
      </c>
      <c r="R49" s="7" t="s">
        <v>465</v>
      </c>
      <c r="S49" s="7" t="s">
        <v>466</v>
      </c>
      <c r="T49" s="7" t="s">
        <v>467</v>
      </c>
      <c r="U49" s="7" t="s">
        <v>468</v>
      </c>
      <c r="V49" s="7" t="s">
        <v>469</v>
      </c>
      <c r="W49" s="7" t="s">
        <v>470</v>
      </c>
      <c r="X49" s="7" t="s">
        <v>774</v>
      </c>
      <c r="Y49" s="14">
        <v>14668723</v>
      </c>
      <c r="Z49" s="16">
        <v>3424560</v>
      </c>
      <c r="AA49" s="18">
        <v>0.23300000000000001</v>
      </c>
      <c r="AB49" s="18">
        <v>-1.2999999999999999E-2</v>
      </c>
      <c r="AC49" s="7">
        <v>95.5</v>
      </c>
      <c r="AD49" s="7" t="s">
        <v>471</v>
      </c>
    </row>
    <row r="50" spans="1:30" ht="31" x14ac:dyDescent="0.35">
      <c r="A50" s="7">
        <v>49</v>
      </c>
      <c r="B50" s="7" t="s">
        <v>472</v>
      </c>
      <c r="C50" s="7" t="s">
        <v>431</v>
      </c>
      <c r="D50" s="7" t="s">
        <v>141</v>
      </c>
      <c r="E50" s="8">
        <f t="shared" si="1"/>
        <v>2.35</v>
      </c>
      <c r="F50" s="8">
        <v>2.6</v>
      </c>
      <c r="G50" s="8">
        <v>2</v>
      </c>
      <c r="H50" s="8">
        <v>3.8</v>
      </c>
      <c r="I50" s="8">
        <v>1</v>
      </c>
      <c r="J50" s="8">
        <v>2.5</v>
      </c>
      <c r="K50" s="8">
        <v>2</v>
      </c>
      <c r="L50" s="8">
        <v>3</v>
      </c>
      <c r="M50" s="7"/>
      <c r="N50" s="7" t="s">
        <v>54</v>
      </c>
      <c r="O50" s="7" t="s">
        <v>55</v>
      </c>
      <c r="P50" s="7" t="s">
        <v>204</v>
      </c>
      <c r="Q50" s="7" t="s">
        <v>473</v>
      </c>
      <c r="R50" s="7" t="s">
        <v>474</v>
      </c>
      <c r="S50" s="7" t="s">
        <v>475</v>
      </c>
      <c r="T50" s="7" t="s">
        <v>729</v>
      </c>
      <c r="U50" s="7" t="s">
        <v>477</v>
      </c>
      <c r="V50" s="7" t="s">
        <v>185</v>
      </c>
      <c r="W50" s="7" t="s">
        <v>478</v>
      </c>
      <c r="X50" s="7"/>
      <c r="Y50" s="7"/>
      <c r="Z50" s="16"/>
      <c r="AA50" s="7"/>
      <c r="AB50" s="7"/>
      <c r="AC50" s="7"/>
      <c r="AD50" s="7" t="s">
        <v>479</v>
      </c>
    </row>
    <row r="51" spans="1:30" ht="31" x14ac:dyDescent="0.35">
      <c r="A51" s="7">
        <v>50</v>
      </c>
      <c r="B51" s="7" t="s">
        <v>480</v>
      </c>
      <c r="C51" s="7" t="s">
        <v>431</v>
      </c>
      <c r="D51" s="7" t="s">
        <v>432</v>
      </c>
      <c r="E51" s="8">
        <f t="shared" si="1"/>
        <v>1.4500000000000002</v>
      </c>
      <c r="F51" s="8">
        <v>1</v>
      </c>
      <c r="G51" s="8">
        <v>1</v>
      </c>
      <c r="H51" s="8">
        <v>1</v>
      </c>
      <c r="I51" s="8">
        <v>1</v>
      </c>
      <c r="J51" s="8">
        <v>3.5</v>
      </c>
      <c r="K51" s="8">
        <v>3</v>
      </c>
      <c r="L51" s="8">
        <v>1</v>
      </c>
      <c r="M51" s="7"/>
      <c r="N51" s="7" t="s">
        <v>152</v>
      </c>
      <c r="O51" s="7" t="s">
        <v>55</v>
      </c>
      <c r="P51" s="7" t="s">
        <v>204</v>
      </c>
      <c r="Q51" s="7" t="s">
        <v>481</v>
      </c>
      <c r="R51" s="7" t="s">
        <v>482</v>
      </c>
      <c r="S51" s="7" t="s">
        <v>483</v>
      </c>
      <c r="T51" s="7" t="s">
        <v>484</v>
      </c>
      <c r="U51" s="7" t="s">
        <v>485</v>
      </c>
      <c r="V51" s="7" t="s">
        <v>486</v>
      </c>
      <c r="W51" s="7" t="s">
        <v>487</v>
      </c>
      <c r="X51" s="7"/>
      <c r="Y51" s="7"/>
      <c r="Z51" s="16"/>
      <c r="AA51" s="7"/>
      <c r="AB51" s="7"/>
      <c r="AC51" s="7"/>
      <c r="AD51" s="7" t="s">
        <v>488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51"/>
  <sheetViews>
    <sheetView showGridLines="0" workbookViewId="0">
      <pane ySplit="1" topLeftCell="A2" activePane="bottomLeft" state="frozen"/>
      <selection pane="bottomLeft" activeCell="A2" sqref="A2"/>
    </sheetView>
  </sheetViews>
  <sheetFormatPr defaultRowHeight="14.5" x14ac:dyDescent="0.35"/>
  <cols>
    <col min="1" max="20" width="20" customWidth="1"/>
    <col min="21" max="21" width="70" customWidth="1"/>
  </cols>
  <sheetData>
    <row r="1" spans="1:21" ht="15" x14ac:dyDescent="0.35">
      <c r="A1" s="1" t="s">
        <v>530</v>
      </c>
      <c r="B1" s="1" t="s">
        <v>531</v>
      </c>
      <c r="C1" s="1" t="s">
        <v>532</v>
      </c>
      <c r="D1" s="1" t="s">
        <v>533</v>
      </c>
      <c r="E1" s="1" t="s">
        <v>534</v>
      </c>
      <c r="F1" s="1" t="s">
        <v>535</v>
      </c>
      <c r="G1" s="1" t="s">
        <v>536</v>
      </c>
      <c r="H1" s="1" t="s">
        <v>537</v>
      </c>
      <c r="I1" s="1" t="s">
        <v>538</v>
      </c>
      <c r="J1" s="1" t="s">
        <v>539</v>
      </c>
      <c r="K1" s="1" t="s">
        <v>540</v>
      </c>
      <c r="L1" s="1" t="s">
        <v>541</v>
      </c>
      <c r="M1" s="1" t="s">
        <v>542</v>
      </c>
      <c r="N1" s="1" t="s">
        <v>543</v>
      </c>
      <c r="O1" s="1" t="s">
        <v>544</v>
      </c>
      <c r="P1" s="1" t="s">
        <v>545</v>
      </c>
      <c r="Q1" s="1" t="s">
        <v>546</v>
      </c>
      <c r="R1" s="1" t="s">
        <v>547</v>
      </c>
      <c r="S1" s="1" t="s">
        <v>548</v>
      </c>
      <c r="T1" s="1" t="s">
        <v>549</v>
      </c>
      <c r="U1" s="1" t="s">
        <v>550</v>
      </c>
    </row>
    <row r="2" spans="1:21" ht="46.5" x14ac:dyDescent="0.35">
      <c r="A2" s="10" t="s">
        <v>51</v>
      </c>
      <c r="B2" s="10">
        <v>29.76</v>
      </c>
      <c r="C2" s="10">
        <v>-95.37</v>
      </c>
      <c r="D2" s="10">
        <v>5</v>
      </c>
      <c r="E2" s="10">
        <v>1</v>
      </c>
      <c r="F2" s="10" t="s">
        <v>551</v>
      </c>
      <c r="G2" s="10" t="s">
        <v>552</v>
      </c>
      <c r="H2" s="10" t="s">
        <v>553</v>
      </c>
      <c r="I2" s="10" t="s">
        <v>54</v>
      </c>
      <c r="J2" s="10" t="s">
        <v>55</v>
      </c>
      <c r="K2" s="10" t="s">
        <v>56</v>
      </c>
      <c r="L2" s="10" t="s">
        <v>57</v>
      </c>
      <c r="M2" s="10" t="s">
        <v>58</v>
      </c>
      <c r="N2" s="10" t="s">
        <v>59</v>
      </c>
      <c r="O2" s="10" t="s">
        <v>60</v>
      </c>
      <c r="P2" s="10" t="s">
        <v>61</v>
      </c>
      <c r="Q2" s="10" t="s">
        <v>62</v>
      </c>
      <c r="R2" s="10" t="s">
        <v>554</v>
      </c>
      <c r="S2" s="10" t="s">
        <v>555</v>
      </c>
      <c r="T2" s="10" t="s">
        <v>556</v>
      </c>
      <c r="U2" s="10" t="s">
        <v>64</v>
      </c>
    </row>
    <row r="3" spans="1:21" ht="46.5" x14ac:dyDescent="0.35">
      <c r="A3" s="10" t="s">
        <v>65</v>
      </c>
      <c r="B3" s="10">
        <v>32.78</v>
      </c>
      <c r="C3" s="10">
        <v>-96.8</v>
      </c>
      <c r="D3" s="10">
        <v>5</v>
      </c>
      <c r="E3" s="10">
        <v>2</v>
      </c>
      <c r="F3" s="10" t="s">
        <v>557</v>
      </c>
      <c r="G3" s="10" t="s">
        <v>558</v>
      </c>
      <c r="H3" s="10" t="s">
        <v>559</v>
      </c>
      <c r="I3" s="10" t="s">
        <v>54</v>
      </c>
      <c r="J3" s="10" t="s">
        <v>55</v>
      </c>
      <c r="K3" s="10" t="s">
        <v>66</v>
      </c>
      <c r="L3" s="10" t="s">
        <v>67</v>
      </c>
      <c r="M3" s="10" t="s">
        <v>68</v>
      </c>
      <c r="N3" s="10" t="s">
        <v>69</v>
      </c>
      <c r="O3" s="10" t="s">
        <v>70</v>
      </c>
      <c r="P3" s="10" t="s">
        <v>71</v>
      </c>
      <c r="Q3" s="10" t="s">
        <v>72</v>
      </c>
      <c r="R3" s="10" t="s">
        <v>560</v>
      </c>
      <c r="S3" s="10" t="s">
        <v>561</v>
      </c>
      <c r="T3" s="10" t="s">
        <v>562</v>
      </c>
      <c r="U3" s="10" t="s">
        <v>74</v>
      </c>
    </row>
    <row r="4" spans="1:21" ht="62" x14ac:dyDescent="0.35">
      <c r="A4" s="10" t="s">
        <v>75</v>
      </c>
      <c r="B4" s="10">
        <v>33.75</v>
      </c>
      <c r="C4" s="10">
        <v>-84.39</v>
      </c>
      <c r="D4" s="10">
        <v>5</v>
      </c>
      <c r="E4" s="10">
        <v>3</v>
      </c>
      <c r="F4" s="10" t="s">
        <v>563</v>
      </c>
      <c r="G4" s="10" t="s">
        <v>564</v>
      </c>
      <c r="H4" s="10" t="s">
        <v>565</v>
      </c>
      <c r="I4" s="10" t="s">
        <v>54</v>
      </c>
      <c r="J4" s="10" t="s">
        <v>76</v>
      </c>
      <c r="K4" s="10" t="s">
        <v>77</v>
      </c>
      <c r="L4" s="10" t="s">
        <v>78</v>
      </c>
      <c r="M4" s="10" t="s">
        <v>79</v>
      </c>
      <c r="N4" s="10" t="s">
        <v>80</v>
      </c>
      <c r="O4" s="10" t="s">
        <v>81</v>
      </c>
      <c r="P4" s="10" t="s">
        <v>82</v>
      </c>
      <c r="Q4" s="10" t="s">
        <v>83</v>
      </c>
      <c r="R4" s="10" t="s">
        <v>566</v>
      </c>
      <c r="S4" s="10" t="s">
        <v>567</v>
      </c>
      <c r="T4" s="10" t="s">
        <v>568</v>
      </c>
      <c r="U4" s="10" t="s">
        <v>85</v>
      </c>
    </row>
    <row r="5" spans="1:21" ht="124" x14ac:dyDescent="0.35">
      <c r="A5" s="10" t="s">
        <v>86</v>
      </c>
      <c r="B5" s="10">
        <v>27.95</v>
      </c>
      <c r="C5" s="10">
        <v>-82.46</v>
      </c>
      <c r="D5" s="10">
        <v>5</v>
      </c>
      <c r="E5" s="10">
        <v>4</v>
      </c>
      <c r="F5" s="10" t="s">
        <v>569</v>
      </c>
      <c r="G5" s="10" t="s">
        <v>570</v>
      </c>
      <c r="H5" s="10" t="s">
        <v>571</v>
      </c>
      <c r="I5" s="10" t="s">
        <v>54</v>
      </c>
      <c r="J5" s="10" t="s">
        <v>76</v>
      </c>
      <c r="K5" s="10" t="s">
        <v>87</v>
      </c>
      <c r="L5" s="10" t="s">
        <v>88</v>
      </c>
      <c r="M5" s="10" t="s">
        <v>89</v>
      </c>
      <c r="N5" s="10" t="s">
        <v>90</v>
      </c>
      <c r="O5" s="10" t="s">
        <v>91</v>
      </c>
      <c r="P5" s="10" t="s">
        <v>92</v>
      </c>
      <c r="Q5" s="10" t="s">
        <v>93</v>
      </c>
      <c r="R5" s="10" t="s">
        <v>572</v>
      </c>
      <c r="S5" s="10" t="s">
        <v>573</v>
      </c>
      <c r="T5" s="10" t="s">
        <v>574</v>
      </c>
      <c r="U5" s="10" t="s">
        <v>95</v>
      </c>
    </row>
    <row r="6" spans="1:21" ht="77.5" x14ac:dyDescent="0.35">
      <c r="A6" s="10" t="s">
        <v>96</v>
      </c>
      <c r="B6" s="10">
        <v>33.450000000000003</v>
      </c>
      <c r="C6" s="10">
        <v>-112.07</v>
      </c>
      <c r="D6" s="10">
        <v>5</v>
      </c>
      <c r="E6" s="10">
        <v>5</v>
      </c>
      <c r="F6" s="10" t="s">
        <v>575</v>
      </c>
      <c r="G6" s="10" t="s">
        <v>576</v>
      </c>
      <c r="H6" s="10" t="s">
        <v>577</v>
      </c>
      <c r="I6" s="10" t="s">
        <v>97</v>
      </c>
      <c r="J6" s="10" t="s">
        <v>55</v>
      </c>
      <c r="K6" s="10" t="s">
        <v>98</v>
      </c>
      <c r="L6" s="10" t="s">
        <v>99</v>
      </c>
      <c r="M6" s="10" t="s">
        <v>100</v>
      </c>
      <c r="N6" s="10" t="s">
        <v>101</v>
      </c>
      <c r="O6" s="10" t="s">
        <v>102</v>
      </c>
      <c r="P6" s="10" t="s">
        <v>103</v>
      </c>
      <c r="Q6" s="10" t="s">
        <v>104</v>
      </c>
      <c r="R6" s="10" t="s">
        <v>578</v>
      </c>
      <c r="S6" s="10" t="s">
        <v>579</v>
      </c>
      <c r="T6" s="10" t="s">
        <v>580</v>
      </c>
      <c r="U6" s="10" t="s">
        <v>106</v>
      </c>
    </row>
    <row r="7" spans="1:21" ht="62" x14ac:dyDescent="0.35">
      <c r="A7" s="10" t="s">
        <v>387</v>
      </c>
      <c r="B7" s="10">
        <v>35.229999999999997</v>
      </c>
      <c r="C7" s="10">
        <v>-80.84</v>
      </c>
      <c r="D7" s="10">
        <v>4</v>
      </c>
      <c r="E7" s="10"/>
      <c r="F7" s="10" t="s">
        <v>581</v>
      </c>
      <c r="G7" s="10" t="s">
        <v>582</v>
      </c>
      <c r="H7" s="10" t="s">
        <v>583</v>
      </c>
      <c r="I7" s="10" t="s">
        <v>54</v>
      </c>
      <c r="J7" s="10" t="s">
        <v>76</v>
      </c>
      <c r="K7" s="10" t="s">
        <v>77</v>
      </c>
      <c r="L7" s="10" t="s">
        <v>388</v>
      </c>
      <c r="M7" s="10" t="s">
        <v>389</v>
      </c>
      <c r="N7" s="10" t="s">
        <v>390</v>
      </c>
      <c r="O7" s="10" t="s">
        <v>391</v>
      </c>
      <c r="P7" s="10" t="s">
        <v>392</v>
      </c>
      <c r="Q7" s="10" t="s">
        <v>393</v>
      </c>
      <c r="R7" s="10" t="s">
        <v>584</v>
      </c>
      <c r="S7" s="10" t="s">
        <v>585</v>
      </c>
      <c r="T7" s="10" t="s">
        <v>586</v>
      </c>
      <c r="U7" s="10" t="s">
        <v>395</v>
      </c>
    </row>
    <row r="8" spans="1:21" ht="46.5" x14ac:dyDescent="0.35">
      <c r="A8" s="10" t="s">
        <v>325</v>
      </c>
      <c r="B8" s="10">
        <v>36.159999999999997</v>
      </c>
      <c r="C8" s="10">
        <v>-86.78</v>
      </c>
      <c r="D8" s="10">
        <v>4</v>
      </c>
      <c r="E8" s="10"/>
      <c r="F8" s="10" t="s">
        <v>587</v>
      </c>
      <c r="G8" s="10" t="s">
        <v>588</v>
      </c>
      <c r="H8" s="10" t="s">
        <v>589</v>
      </c>
      <c r="I8" s="10" t="s">
        <v>54</v>
      </c>
      <c r="J8" s="10" t="s">
        <v>76</v>
      </c>
      <c r="K8" s="10" t="s">
        <v>77</v>
      </c>
      <c r="L8" s="10" t="s">
        <v>326</v>
      </c>
      <c r="M8" s="10" t="s">
        <v>327</v>
      </c>
      <c r="N8" s="10" t="s">
        <v>328</v>
      </c>
      <c r="O8" s="10" t="s">
        <v>329</v>
      </c>
      <c r="P8" s="10" t="s">
        <v>330</v>
      </c>
      <c r="Q8" s="10" t="s">
        <v>331</v>
      </c>
      <c r="R8" s="10" t="s">
        <v>590</v>
      </c>
      <c r="S8" s="10" t="s">
        <v>591</v>
      </c>
      <c r="T8" s="10" t="s">
        <v>592</v>
      </c>
      <c r="U8" s="10" t="s">
        <v>333</v>
      </c>
    </row>
    <row r="9" spans="1:21" ht="62" x14ac:dyDescent="0.35">
      <c r="A9" s="10" t="s">
        <v>161</v>
      </c>
      <c r="B9" s="10">
        <v>39.74</v>
      </c>
      <c r="C9" s="10">
        <v>-104.99</v>
      </c>
      <c r="D9" s="10">
        <v>3</v>
      </c>
      <c r="E9" s="10"/>
      <c r="F9" s="10" t="s">
        <v>593</v>
      </c>
      <c r="G9" s="10" t="s">
        <v>594</v>
      </c>
      <c r="H9" s="10" t="s">
        <v>595</v>
      </c>
      <c r="I9" s="10" t="s">
        <v>97</v>
      </c>
      <c r="J9" s="10" t="s">
        <v>55</v>
      </c>
      <c r="K9" s="10" t="s">
        <v>98</v>
      </c>
      <c r="L9" s="10" t="s">
        <v>162</v>
      </c>
      <c r="M9" s="10" t="s">
        <v>163</v>
      </c>
      <c r="N9" s="10" t="s">
        <v>164</v>
      </c>
      <c r="O9" s="10" t="s">
        <v>165</v>
      </c>
      <c r="P9" s="10" t="s">
        <v>166</v>
      </c>
      <c r="Q9" s="10" t="s">
        <v>167</v>
      </c>
      <c r="R9" s="10" t="s">
        <v>596</v>
      </c>
      <c r="S9" s="10" t="s">
        <v>597</v>
      </c>
      <c r="T9" s="10" t="s">
        <v>586</v>
      </c>
      <c r="U9" s="10" t="s">
        <v>169</v>
      </c>
    </row>
    <row r="10" spans="1:21" ht="46.5" x14ac:dyDescent="0.35">
      <c r="A10" s="10" t="s">
        <v>348</v>
      </c>
      <c r="B10" s="10">
        <v>47.61</v>
      </c>
      <c r="C10" s="10">
        <v>-122.33</v>
      </c>
      <c r="D10" s="10">
        <v>3</v>
      </c>
      <c r="E10" s="10"/>
      <c r="F10" s="10" t="s">
        <v>598</v>
      </c>
      <c r="G10" s="10" t="s">
        <v>599</v>
      </c>
      <c r="H10" s="10" t="s">
        <v>600</v>
      </c>
      <c r="I10" s="10" t="s">
        <v>97</v>
      </c>
      <c r="J10" s="10" t="s">
        <v>55</v>
      </c>
      <c r="K10" s="10" t="s">
        <v>142</v>
      </c>
      <c r="L10" s="10" t="s">
        <v>349</v>
      </c>
      <c r="M10" s="10" t="s">
        <v>350</v>
      </c>
      <c r="N10" s="10" t="s">
        <v>351</v>
      </c>
      <c r="O10" s="10" t="s">
        <v>352</v>
      </c>
      <c r="P10" s="10" t="s">
        <v>353</v>
      </c>
      <c r="Q10" s="10" t="s">
        <v>137</v>
      </c>
      <c r="R10" s="10" t="s">
        <v>601</v>
      </c>
      <c r="S10" s="10" t="s">
        <v>602</v>
      </c>
      <c r="T10" s="10" t="s">
        <v>603</v>
      </c>
      <c r="U10" s="10" t="s">
        <v>355</v>
      </c>
    </row>
    <row r="11" spans="1:21" ht="77.5" x14ac:dyDescent="0.35">
      <c r="A11" s="10" t="s">
        <v>356</v>
      </c>
      <c r="B11" s="10">
        <v>42.36</v>
      </c>
      <c r="C11" s="10">
        <v>-71.06</v>
      </c>
      <c r="D11" s="10">
        <v>2</v>
      </c>
      <c r="E11" s="10"/>
      <c r="F11" s="10" t="s">
        <v>604</v>
      </c>
      <c r="G11" s="10" t="s">
        <v>605</v>
      </c>
      <c r="H11" s="10" t="s">
        <v>606</v>
      </c>
      <c r="I11" s="10" t="s">
        <v>213</v>
      </c>
      <c r="J11" s="10" t="s">
        <v>76</v>
      </c>
      <c r="K11" s="10" t="s">
        <v>357</v>
      </c>
      <c r="L11" s="10" t="s">
        <v>358</v>
      </c>
      <c r="M11" s="10" t="s">
        <v>359</v>
      </c>
      <c r="N11" s="10" t="s">
        <v>360</v>
      </c>
      <c r="O11" s="10" t="s">
        <v>361</v>
      </c>
      <c r="P11" s="10" t="s">
        <v>362</v>
      </c>
      <c r="Q11" s="10" t="s">
        <v>363</v>
      </c>
      <c r="R11" s="10" t="s">
        <v>607</v>
      </c>
      <c r="S11" s="10" t="s">
        <v>608</v>
      </c>
      <c r="T11" s="10" t="s">
        <v>609</v>
      </c>
      <c r="U11" s="10" t="s">
        <v>365</v>
      </c>
    </row>
    <row r="12" spans="1:21" ht="62" x14ac:dyDescent="0.35">
      <c r="A12" s="10" t="s">
        <v>315</v>
      </c>
      <c r="B12" s="10">
        <v>44.98</v>
      </c>
      <c r="C12" s="10">
        <v>-93.27</v>
      </c>
      <c r="D12" s="10">
        <v>2</v>
      </c>
      <c r="E12" s="10"/>
      <c r="F12" s="10" t="s">
        <v>610</v>
      </c>
      <c r="G12" s="10" t="s">
        <v>611</v>
      </c>
      <c r="H12" s="10" t="s">
        <v>612</v>
      </c>
      <c r="I12" s="10" t="s">
        <v>152</v>
      </c>
      <c r="J12" s="10" t="s">
        <v>55</v>
      </c>
      <c r="K12" s="10" t="s">
        <v>316</v>
      </c>
      <c r="L12" s="10" t="s">
        <v>317</v>
      </c>
      <c r="M12" s="10" t="s">
        <v>318</v>
      </c>
      <c r="N12" s="10" t="s">
        <v>319</v>
      </c>
      <c r="O12" s="10" t="s">
        <v>320</v>
      </c>
      <c r="P12" s="10" t="s">
        <v>321</v>
      </c>
      <c r="Q12" s="10" t="s">
        <v>322</v>
      </c>
      <c r="R12" s="10" t="s">
        <v>613</v>
      </c>
      <c r="S12" s="10" t="s">
        <v>614</v>
      </c>
      <c r="T12" s="10" t="s">
        <v>615</v>
      </c>
      <c r="U12" s="10" t="s">
        <v>324</v>
      </c>
    </row>
    <row r="13" spans="1:21" ht="46.5" x14ac:dyDescent="0.35">
      <c r="A13" s="10" t="s">
        <v>463</v>
      </c>
      <c r="B13" s="10">
        <v>42.33</v>
      </c>
      <c r="C13" s="10">
        <v>-83.05</v>
      </c>
      <c r="D13" s="10">
        <v>1</v>
      </c>
      <c r="E13" s="10"/>
      <c r="F13" s="10" t="s">
        <v>616</v>
      </c>
      <c r="G13" s="10" t="s">
        <v>617</v>
      </c>
      <c r="H13" s="10" t="s">
        <v>618</v>
      </c>
      <c r="I13" s="10" t="s">
        <v>152</v>
      </c>
      <c r="J13" s="10" t="s">
        <v>55</v>
      </c>
      <c r="K13" s="10" t="s">
        <v>204</v>
      </c>
      <c r="L13" s="10" t="s">
        <v>464</v>
      </c>
      <c r="M13" s="10" t="s">
        <v>465</v>
      </c>
      <c r="N13" s="10" t="s">
        <v>466</v>
      </c>
      <c r="O13" s="10" t="s">
        <v>467</v>
      </c>
      <c r="P13" s="10" t="s">
        <v>468</v>
      </c>
      <c r="Q13" s="10" t="s">
        <v>469</v>
      </c>
      <c r="R13" s="10" t="s">
        <v>619</v>
      </c>
      <c r="S13" s="10" t="s">
        <v>620</v>
      </c>
      <c r="T13" s="10" t="s">
        <v>615</v>
      </c>
      <c r="U13" s="10" t="s">
        <v>471</v>
      </c>
    </row>
    <row r="14" spans="1:21" ht="62" x14ac:dyDescent="0.35">
      <c r="A14" s="10" t="s">
        <v>480</v>
      </c>
      <c r="B14" s="10">
        <v>41.5</v>
      </c>
      <c r="C14" s="10">
        <v>-81.69</v>
      </c>
      <c r="D14" s="10">
        <v>1</v>
      </c>
      <c r="E14" s="10"/>
      <c r="F14" s="10" t="s">
        <v>621</v>
      </c>
      <c r="G14" s="10" t="s">
        <v>622</v>
      </c>
      <c r="H14" s="10" t="s">
        <v>623</v>
      </c>
      <c r="I14" s="10" t="s">
        <v>152</v>
      </c>
      <c r="J14" s="10" t="s">
        <v>55</v>
      </c>
      <c r="K14" s="10" t="s">
        <v>204</v>
      </c>
      <c r="L14" s="10" t="s">
        <v>481</v>
      </c>
      <c r="M14" s="10" t="s">
        <v>482</v>
      </c>
      <c r="N14" s="10" t="s">
        <v>483</v>
      </c>
      <c r="O14" s="10" t="s">
        <v>484</v>
      </c>
      <c r="P14" s="10" t="s">
        <v>485</v>
      </c>
      <c r="Q14" s="10" t="s">
        <v>486</v>
      </c>
      <c r="R14" s="10" t="s">
        <v>624</v>
      </c>
      <c r="S14" s="10" t="s">
        <v>625</v>
      </c>
      <c r="T14" s="10" t="s">
        <v>615</v>
      </c>
      <c r="U14" s="10" t="s">
        <v>488</v>
      </c>
    </row>
    <row r="15" spans="1:21" ht="62" x14ac:dyDescent="0.35">
      <c r="A15" s="10" t="s">
        <v>413</v>
      </c>
      <c r="B15" s="10">
        <v>42.89</v>
      </c>
      <c r="C15" s="10">
        <v>-78.88</v>
      </c>
      <c r="D15" s="10">
        <v>1</v>
      </c>
      <c r="E15" s="10"/>
      <c r="F15" s="10" t="s">
        <v>626</v>
      </c>
      <c r="G15" s="10" t="s">
        <v>627</v>
      </c>
      <c r="H15" s="10" t="s">
        <v>628</v>
      </c>
      <c r="I15" s="10" t="s">
        <v>213</v>
      </c>
      <c r="J15" s="10" t="s">
        <v>76</v>
      </c>
      <c r="K15" s="10" t="s">
        <v>262</v>
      </c>
      <c r="L15" s="10" t="s">
        <v>414</v>
      </c>
      <c r="M15" s="10" t="s">
        <v>415</v>
      </c>
      <c r="N15" s="10" t="s">
        <v>416</v>
      </c>
      <c r="O15" s="10" t="s">
        <v>417</v>
      </c>
      <c r="P15" s="10" t="s">
        <v>418</v>
      </c>
      <c r="Q15" s="10" t="s">
        <v>419</v>
      </c>
      <c r="R15" s="10" t="s">
        <v>629</v>
      </c>
      <c r="S15" s="10" t="s">
        <v>630</v>
      </c>
      <c r="T15" s="10" t="s">
        <v>631</v>
      </c>
      <c r="U15" s="10" t="s">
        <v>421</v>
      </c>
    </row>
    <row r="16" spans="1:21" ht="93" x14ac:dyDescent="0.35">
      <c r="A16" s="10" t="s">
        <v>212</v>
      </c>
      <c r="B16" s="10">
        <v>40.71</v>
      </c>
      <c r="C16" s="10">
        <v>-74.010000000000005</v>
      </c>
      <c r="D16" s="10">
        <v>2</v>
      </c>
      <c r="E16" s="10"/>
      <c r="F16" s="10"/>
      <c r="G16" s="10"/>
      <c r="H16" s="10"/>
      <c r="I16" s="10" t="s">
        <v>213</v>
      </c>
      <c r="J16" s="10" t="s">
        <v>76</v>
      </c>
      <c r="K16" s="10" t="s">
        <v>214</v>
      </c>
      <c r="L16" s="10" t="s">
        <v>215</v>
      </c>
      <c r="M16" s="10" t="s">
        <v>216</v>
      </c>
      <c r="N16" s="10" t="s">
        <v>217</v>
      </c>
      <c r="O16" s="10" t="s">
        <v>218</v>
      </c>
      <c r="P16" s="10" t="s">
        <v>219</v>
      </c>
      <c r="Q16" s="10" t="s">
        <v>148</v>
      </c>
      <c r="R16" s="10" t="s">
        <v>632</v>
      </c>
      <c r="S16" s="10" t="s">
        <v>633</v>
      </c>
      <c r="T16" s="10" t="s">
        <v>615</v>
      </c>
      <c r="U16" s="10" t="s">
        <v>221</v>
      </c>
    </row>
    <row r="17" spans="1:21" ht="62" x14ac:dyDescent="0.35">
      <c r="A17" s="10" t="s">
        <v>278</v>
      </c>
      <c r="B17" s="10">
        <v>34.049999999999997</v>
      </c>
      <c r="C17" s="10">
        <v>-118.41</v>
      </c>
      <c r="D17" s="10">
        <v>3</v>
      </c>
      <c r="E17" s="10"/>
      <c r="F17" s="10"/>
      <c r="G17" s="10"/>
      <c r="H17" s="10"/>
      <c r="I17" s="10" t="s">
        <v>97</v>
      </c>
      <c r="J17" s="10" t="s">
        <v>55</v>
      </c>
      <c r="K17" s="10" t="s">
        <v>232</v>
      </c>
      <c r="L17" s="10" t="s">
        <v>279</v>
      </c>
      <c r="M17" s="10" t="s">
        <v>280</v>
      </c>
      <c r="N17" s="10" t="s">
        <v>281</v>
      </c>
      <c r="O17" s="10" t="s">
        <v>146</v>
      </c>
      <c r="P17" s="10" t="s">
        <v>147</v>
      </c>
      <c r="Q17" s="10" t="s">
        <v>282</v>
      </c>
      <c r="R17" s="10" t="s">
        <v>634</v>
      </c>
      <c r="S17" s="10" t="s">
        <v>635</v>
      </c>
      <c r="T17" s="10" t="s">
        <v>636</v>
      </c>
      <c r="U17" s="10" t="s">
        <v>284</v>
      </c>
    </row>
    <row r="18" spans="1:21" ht="62" x14ac:dyDescent="0.35">
      <c r="A18" s="10" t="s">
        <v>307</v>
      </c>
      <c r="B18" s="10">
        <v>41.88</v>
      </c>
      <c r="C18" s="10">
        <v>-87.63</v>
      </c>
      <c r="D18" s="10">
        <v>2</v>
      </c>
      <c r="E18" s="10"/>
      <c r="F18" s="10"/>
      <c r="G18" s="10"/>
      <c r="H18" s="10"/>
      <c r="I18" s="10" t="s">
        <v>152</v>
      </c>
      <c r="J18" s="10" t="s">
        <v>55</v>
      </c>
      <c r="K18" s="10" t="s">
        <v>204</v>
      </c>
      <c r="L18" s="10" t="s">
        <v>308</v>
      </c>
      <c r="M18" s="10" t="s">
        <v>309</v>
      </c>
      <c r="N18" s="10" t="s">
        <v>310</v>
      </c>
      <c r="O18" s="10" t="s">
        <v>311</v>
      </c>
      <c r="P18" s="10" t="s">
        <v>312</v>
      </c>
      <c r="Q18" s="10" t="s">
        <v>282</v>
      </c>
      <c r="R18" s="10" t="s">
        <v>637</v>
      </c>
      <c r="S18" s="10" t="s">
        <v>638</v>
      </c>
      <c r="T18" s="10" t="s">
        <v>639</v>
      </c>
      <c r="U18" s="10" t="s">
        <v>314</v>
      </c>
    </row>
    <row r="19" spans="1:21" ht="46.5" x14ac:dyDescent="0.35">
      <c r="A19" s="10" t="s">
        <v>170</v>
      </c>
      <c r="B19" s="10">
        <v>38.909999999999997</v>
      </c>
      <c r="C19" s="10">
        <v>-77.040000000000006</v>
      </c>
      <c r="D19" s="10">
        <v>3</v>
      </c>
      <c r="E19" s="10"/>
      <c r="F19" s="10"/>
      <c r="G19" s="10"/>
      <c r="H19" s="10"/>
      <c r="I19" s="10" t="s">
        <v>54</v>
      </c>
      <c r="J19" s="10" t="s">
        <v>76</v>
      </c>
      <c r="K19" s="10" t="s">
        <v>121</v>
      </c>
      <c r="L19" s="10" t="s">
        <v>171</v>
      </c>
      <c r="M19" s="10" t="s">
        <v>172</v>
      </c>
      <c r="N19" s="10" t="s">
        <v>173</v>
      </c>
      <c r="O19" s="10" t="s">
        <v>174</v>
      </c>
      <c r="P19" s="10" t="s">
        <v>175</v>
      </c>
      <c r="Q19" s="10" t="s">
        <v>176</v>
      </c>
      <c r="R19" s="10" t="s">
        <v>632</v>
      </c>
      <c r="S19" s="10" t="s">
        <v>640</v>
      </c>
      <c r="T19" s="10" t="s">
        <v>615</v>
      </c>
      <c r="U19" s="10" t="s">
        <v>178</v>
      </c>
    </row>
    <row r="20" spans="1:21" ht="62" x14ac:dyDescent="0.35">
      <c r="A20" s="10" t="s">
        <v>222</v>
      </c>
      <c r="B20" s="10">
        <v>39.950000000000003</v>
      </c>
      <c r="C20" s="10">
        <v>-75.17</v>
      </c>
      <c r="D20" s="10">
        <v>3</v>
      </c>
      <c r="E20" s="10"/>
      <c r="F20" s="10"/>
      <c r="G20" s="10"/>
      <c r="H20" s="10"/>
      <c r="I20" s="10" t="s">
        <v>213</v>
      </c>
      <c r="J20" s="10" t="s">
        <v>76</v>
      </c>
      <c r="K20" s="10" t="s">
        <v>121</v>
      </c>
      <c r="L20" s="10" t="s">
        <v>223</v>
      </c>
      <c r="M20" s="10" t="s">
        <v>224</v>
      </c>
      <c r="N20" s="10" t="s">
        <v>225</v>
      </c>
      <c r="O20" s="10" t="s">
        <v>226</v>
      </c>
      <c r="P20" s="10" t="s">
        <v>227</v>
      </c>
      <c r="Q20" s="10" t="s">
        <v>228</v>
      </c>
      <c r="R20" s="10" t="s">
        <v>632</v>
      </c>
      <c r="S20" s="10" t="s">
        <v>641</v>
      </c>
      <c r="T20" s="10" t="s">
        <v>615</v>
      </c>
      <c r="U20" s="10" t="s">
        <v>230</v>
      </c>
    </row>
    <row r="21" spans="1:21" ht="77.5" x14ac:dyDescent="0.35">
      <c r="A21" s="10" t="s">
        <v>378</v>
      </c>
      <c r="B21" s="10">
        <v>25.86</v>
      </c>
      <c r="C21" s="10">
        <v>-80.27</v>
      </c>
      <c r="D21" s="10">
        <v>3</v>
      </c>
      <c r="E21" s="10"/>
      <c r="F21" s="10"/>
      <c r="G21" s="10"/>
      <c r="H21" s="10"/>
      <c r="I21" s="10" t="s">
        <v>54</v>
      </c>
      <c r="J21" s="10" t="s">
        <v>76</v>
      </c>
      <c r="K21" s="10" t="s">
        <v>87</v>
      </c>
      <c r="L21" s="10" t="s">
        <v>379</v>
      </c>
      <c r="M21" s="10" t="s">
        <v>380</v>
      </c>
      <c r="N21" s="10" t="s">
        <v>381</v>
      </c>
      <c r="O21" s="10" t="s">
        <v>382</v>
      </c>
      <c r="P21" s="10" t="s">
        <v>383</v>
      </c>
      <c r="Q21" s="10" t="s">
        <v>384</v>
      </c>
      <c r="R21" s="10" t="s">
        <v>642</v>
      </c>
      <c r="S21" s="10" t="s">
        <v>643</v>
      </c>
      <c r="T21" s="10" t="s">
        <v>644</v>
      </c>
      <c r="U21" s="10" t="s">
        <v>386</v>
      </c>
    </row>
    <row r="22" spans="1:21" ht="46.5" x14ac:dyDescent="0.35">
      <c r="A22" s="10" t="s">
        <v>188</v>
      </c>
      <c r="B22" s="10">
        <v>37.799999999999997</v>
      </c>
      <c r="C22" s="10">
        <v>-122.27</v>
      </c>
      <c r="D22" s="10">
        <v>3</v>
      </c>
      <c r="E22" s="10"/>
      <c r="F22" s="10"/>
      <c r="G22" s="10"/>
      <c r="H22" s="10"/>
      <c r="I22" s="10" t="s">
        <v>97</v>
      </c>
      <c r="J22" s="10" t="s">
        <v>55</v>
      </c>
      <c r="K22" s="10" t="s">
        <v>142</v>
      </c>
      <c r="L22" s="10" t="s">
        <v>189</v>
      </c>
      <c r="M22" s="10" t="s">
        <v>190</v>
      </c>
      <c r="N22" s="10" t="s">
        <v>191</v>
      </c>
      <c r="O22" s="10" t="s">
        <v>146</v>
      </c>
      <c r="P22" s="10" t="s">
        <v>147</v>
      </c>
      <c r="Q22" s="10" t="s">
        <v>148</v>
      </c>
      <c r="R22" s="10" t="s">
        <v>645</v>
      </c>
      <c r="S22" s="10" t="s">
        <v>646</v>
      </c>
      <c r="T22" s="10" t="s">
        <v>647</v>
      </c>
      <c r="U22" s="10" t="s">
        <v>193</v>
      </c>
    </row>
    <row r="23" spans="1:21" ht="62" x14ac:dyDescent="0.35">
      <c r="A23" s="10" t="s">
        <v>231</v>
      </c>
      <c r="B23" s="10">
        <v>33.979999999999997</v>
      </c>
      <c r="C23" s="10">
        <v>-117.38</v>
      </c>
      <c r="D23" s="10">
        <v>4</v>
      </c>
      <c r="E23" s="10"/>
      <c r="F23" s="10"/>
      <c r="G23" s="10"/>
      <c r="H23" s="10"/>
      <c r="I23" s="10" t="s">
        <v>97</v>
      </c>
      <c r="J23" s="10" t="s">
        <v>55</v>
      </c>
      <c r="K23" s="10" t="s">
        <v>232</v>
      </c>
      <c r="L23" s="10" t="s">
        <v>233</v>
      </c>
      <c r="M23" s="10" t="s">
        <v>234</v>
      </c>
      <c r="N23" s="10" t="s">
        <v>235</v>
      </c>
      <c r="O23" s="10" t="s">
        <v>146</v>
      </c>
      <c r="P23" s="10" t="s">
        <v>147</v>
      </c>
      <c r="Q23" s="10" t="s">
        <v>137</v>
      </c>
      <c r="R23" s="10" t="s">
        <v>648</v>
      </c>
      <c r="S23" s="10" t="s">
        <v>649</v>
      </c>
      <c r="T23" s="10" t="s">
        <v>650</v>
      </c>
      <c r="U23" s="10" t="s">
        <v>237</v>
      </c>
    </row>
    <row r="24" spans="1:21" ht="46.5" x14ac:dyDescent="0.35">
      <c r="A24" s="10" t="s">
        <v>301</v>
      </c>
      <c r="B24" s="10">
        <v>32.72</v>
      </c>
      <c r="C24" s="10">
        <v>-117.16</v>
      </c>
      <c r="D24" s="10">
        <v>3</v>
      </c>
      <c r="E24" s="10"/>
      <c r="F24" s="10"/>
      <c r="G24" s="10"/>
      <c r="H24" s="10"/>
      <c r="I24" s="10" t="s">
        <v>97</v>
      </c>
      <c r="J24" s="10" t="s">
        <v>55</v>
      </c>
      <c r="K24" s="10" t="s">
        <v>232</v>
      </c>
      <c r="L24" s="10" t="s">
        <v>302</v>
      </c>
      <c r="M24" s="10" t="s">
        <v>303</v>
      </c>
      <c r="N24" s="10" t="s">
        <v>304</v>
      </c>
      <c r="O24" s="10" t="s">
        <v>146</v>
      </c>
      <c r="P24" s="10" t="s">
        <v>147</v>
      </c>
      <c r="Q24" s="10" t="s">
        <v>185</v>
      </c>
      <c r="R24" s="10" t="s">
        <v>651</v>
      </c>
      <c r="S24" s="10" t="s">
        <v>652</v>
      </c>
      <c r="T24" s="10" t="s">
        <v>650</v>
      </c>
      <c r="U24" s="10" t="s">
        <v>306</v>
      </c>
    </row>
    <row r="25" spans="1:21" ht="46.5" x14ac:dyDescent="0.35">
      <c r="A25" s="10" t="s">
        <v>285</v>
      </c>
      <c r="B25" s="10">
        <v>39.29</v>
      </c>
      <c r="C25" s="10">
        <v>-76.61</v>
      </c>
      <c r="D25" s="10">
        <v>3</v>
      </c>
      <c r="E25" s="10"/>
      <c r="F25" s="10"/>
      <c r="G25" s="10"/>
      <c r="H25" s="10"/>
      <c r="I25" s="10" t="s">
        <v>54</v>
      </c>
      <c r="J25" s="10" t="s">
        <v>76</v>
      </c>
      <c r="K25" s="10" t="s">
        <v>121</v>
      </c>
      <c r="L25" s="10" t="s">
        <v>286</v>
      </c>
      <c r="M25" s="10" t="s">
        <v>287</v>
      </c>
      <c r="N25" s="10" t="s">
        <v>288</v>
      </c>
      <c r="O25" s="10" t="s">
        <v>289</v>
      </c>
      <c r="P25" s="10" t="s">
        <v>290</v>
      </c>
      <c r="Q25" s="10" t="s">
        <v>185</v>
      </c>
      <c r="R25" s="10" t="s">
        <v>653</v>
      </c>
      <c r="S25" s="10" t="s">
        <v>641</v>
      </c>
      <c r="T25" s="10" t="s">
        <v>615</v>
      </c>
      <c r="U25" s="10" t="s">
        <v>292</v>
      </c>
    </row>
    <row r="26" spans="1:21" ht="46.5" x14ac:dyDescent="0.35">
      <c r="A26" s="10" t="s">
        <v>151</v>
      </c>
      <c r="B26" s="10">
        <v>38.630000000000003</v>
      </c>
      <c r="C26" s="10">
        <v>-90.2</v>
      </c>
      <c r="D26" s="10">
        <v>4</v>
      </c>
      <c r="E26" s="10"/>
      <c r="F26" s="10"/>
      <c r="G26" s="10"/>
      <c r="H26" s="10"/>
      <c r="I26" s="10" t="s">
        <v>152</v>
      </c>
      <c r="J26" s="10" t="s">
        <v>55</v>
      </c>
      <c r="K26" s="10" t="s">
        <v>131</v>
      </c>
      <c r="L26" s="10" t="s">
        <v>153</v>
      </c>
      <c r="M26" s="10" t="s">
        <v>154</v>
      </c>
      <c r="N26" s="10" t="s">
        <v>155</v>
      </c>
      <c r="O26" s="10" t="s">
        <v>156</v>
      </c>
      <c r="P26" s="10" t="s">
        <v>157</v>
      </c>
      <c r="Q26" s="10" t="s">
        <v>158</v>
      </c>
      <c r="R26" s="10" t="s">
        <v>654</v>
      </c>
      <c r="S26" s="10" t="s">
        <v>655</v>
      </c>
      <c r="T26" s="10" t="s">
        <v>656</v>
      </c>
      <c r="U26" s="10" t="s">
        <v>160</v>
      </c>
    </row>
    <row r="27" spans="1:21" ht="46.5" x14ac:dyDescent="0.35">
      <c r="A27" s="10" t="s">
        <v>293</v>
      </c>
      <c r="B27" s="10">
        <v>28.42</v>
      </c>
      <c r="C27" s="10">
        <v>-81.3</v>
      </c>
      <c r="D27" s="10">
        <v>4</v>
      </c>
      <c r="E27" s="10"/>
      <c r="F27" s="10"/>
      <c r="G27" s="10"/>
      <c r="H27" s="10"/>
      <c r="I27" s="10" t="s">
        <v>54</v>
      </c>
      <c r="J27" s="10" t="s">
        <v>76</v>
      </c>
      <c r="K27" s="10" t="s">
        <v>87</v>
      </c>
      <c r="L27" s="10" t="s">
        <v>294</v>
      </c>
      <c r="M27" s="10" t="s">
        <v>295</v>
      </c>
      <c r="N27" s="10" t="s">
        <v>296</v>
      </c>
      <c r="O27" s="10" t="s">
        <v>297</v>
      </c>
      <c r="P27" s="10" t="s">
        <v>298</v>
      </c>
      <c r="Q27" s="10" t="s">
        <v>72</v>
      </c>
      <c r="R27" s="10" t="s">
        <v>642</v>
      </c>
      <c r="S27" s="10" t="s">
        <v>657</v>
      </c>
      <c r="T27" s="10" t="s">
        <v>658</v>
      </c>
      <c r="U27" s="10" t="s">
        <v>300</v>
      </c>
    </row>
    <row r="28" spans="1:21" ht="46.5" x14ac:dyDescent="0.35">
      <c r="A28" s="10" t="s">
        <v>244</v>
      </c>
      <c r="B28" s="10">
        <v>29.42</v>
      </c>
      <c r="C28" s="10">
        <v>-98.49</v>
      </c>
      <c r="D28" s="10">
        <v>4</v>
      </c>
      <c r="E28" s="10"/>
      <c r="F28" s="10"/>
      <c r="G28" s="10"/>
      <c r="H28" s="10"/>
      <c r="I28" s="10" t="s">
        <v>54</v>
      </c>
      <c r="J28" s="10" t="s">
        <v>55</v>
      </c>
      <c r="K28" s="10" t="s">
        <v>56</v>
      </c>
      <c r="L28" s="10" t="s">
        <v>245</v>
      </c>
      <c r="M28" s="10" t="s">
        <v>246</v>
      </c>
      <c r="N28" s="10" t="s">
        <v>247</v>
      </c>
      <c r="O28" s="10" t="s">
        <v>248</v>
      </c>
      <c r="P28" s="10" t="s">
        <v>249</v>
      </c>
      <c r="Q28" s="10" t="s">
        <v>62</v>
      </c>
      <c r="R28" s="10" t="s">
        <v>659</v>
      </c>
      <c r="S28" s="10" t="s">
        <v>660</v>
      </c>
      <c r="T28" s="10" t="s">
        <v>661</v>
      </c>
      <c r="U28" s="10" t="s">
        <v>251</v>
      </c>
    </row>
    <row r="29" spans="1:21" ht="46.5" x14ac:dyDescent="0.35">
      <c r="A29" s="10" t="s">
        <v>372</v>
      </c>
      <c r="B29" s="10">
        <v>45.52</v>
      </c>
      <c r="C29" s="10">
        <v>-122.68</v>
      </c>
      <c r="D29" s="10">
        <v>3</v>
      </c>
      <c r="E29" s="10"/>
      <c r="F29" s="10"/>
      <c r="G29" s="10"/>
      <c r="H29" s="10"/>
      <c r="I29" s="10" t="s">
        <v>97</v>
      </c>
      <c r="J29" s="10" t="s">
        <v>55</v>
      </c>
      <c r="K29" s="10" t="s">
        <v>142</v>
      </c>
      <c r="L29" s="10" t="s">
        <v>373</v>
      </c>
      <c r="M29" s="10" t="s">
        <v>374</v>
      </c>
      <c r="N29" s="10" t="s">
        <v>375</v>
      </c>
      <c r="O29" s="10" t="s">
        <v>146</v>
      </c>
      <c r="P29" s="10" t="s">
        <v>147</v>
      </c>
      <c r="Q29" s="10" t="s">
        <v>185</v>
      </c>
      <c r="R29" s="10" t="s">
        <v>662</v>
      </c>
      <c r="S29" s="10" t="s">
        <v>663</v>
      </c>
      <c r="T29" s="10" t="s">
        <v>639</v>
      </c>
      <c r="U29" s="10" t="s">
        <v>377</v>
      </c>
    </row>
    <row r="30" spans="1:21" ht="62" x14ac:dyDescent="0.35">
      <c r="A30" s="10" t="s">
        <v>238</v>
      </c>
      <c r="B30" s="10">
        <v>38.58</v>
      </c>
      <c r="C30" s="10">
        <v>-121.49</v>
      </c>
      <c r="D30" s="10">
        <v>3</v>
      </c>
      <c r="E30" s="10"/>
      <c r="F30" s="10"/>
      <c r="G30" s="10"/>
      <c r="H30" s="10"/>
      <c r="I30" s="10" t="s">
        <v>97</v>
      </c>
      <c r="J30" s="10" t="s">
        <v>55</v>
      </c>
      <c r="K30" s="10" t="s">
        <v>142</v>
      </c>
      <c r="L30" s="10" t="s">
        <v>239</v>
      </c>
      <c r="M30" s="10" t="s">
        <v>240</v>
      </c>
      <c r="N30" s="10" t="s">
        <v>241</v>
      </c>
      <c r="O30" s="10" t="s">
        <v>146</v>
      </c>
      <c r="P30" s="10" t="s">
        <v>147</v>
      </c>
      <c r="Q30" s="10" t="s">
        <v>127</v>
      </c>
      <c r="R30" s="10" t="s">
        <v>664</v>
      </c>
      <c r="S30" s="10" t="s">
        <v>665</v>
      </c>
      <c r="T30" s="10" t="s">
        <v>647</v>
      </c>
      <c r="U30" s="10" t="s">
        <v>243</v>
      </c>
    </row>
    <row r="31" spans="1:21" ht="46.5" x14ac:dyDescent="0.35">
      <c r="A31" s="10" t="s">
        <v>261</v>
      </c>
      <c r="B31" s="10">
        <v>40.44</v>
      </c>
      <c r="C31" s="10">
        <v>-79.989999999999995</v>
      </c>
      <c r="D31" s="10">
        <v>4</v>
      </c>
      <c r="E31" s="10"/>
      <c r="F31" s="10"/>
      <c r="G31" s="10"/>
      <c r="H31" s="10"/>
      <c r="I31" s="10" t="s">
        <v>213</v>
      </c>
      <c r="J31" s="10" t="s">
        <v>76</v>
      </c>
      <c r="K31" s="10" t="s">
        <v>262</v>
      </c>
      <c r="L31" s="10" t="s">
        <v>263</v>
      </c>
      <c r="M31" s="10" t="s">
        <v>264</v>
      </c>
      <c r="N31" s="10" t="s">
        <v>265</v>
      </c>
      <c r="O31" s="10" t="s">
        <v>266</v>
      </c>
      <c r="P31" s="10" t="s">
        <v>267</v>
      </c>
      <c r="Q31" s="10" t="s">
        <v>228</v>
      </c>
      <c r="R31" s="10" t="s">
        <v>666</v>
      </c>
      <c r="S31" s="10" t="s">
        <v>667</v>
      </c>
      <c r="T31" s="10" t="s">
        <v>615</v>
      </c>
      <c r="U31" s="10" t="s">
        <v>269</v>
      </c>
    </row>
    <row r="32" spans="1:21" ht="62" x14ac:dyDescent="0.35">
      <c r="A32" s="10" t="s">
        <v>107</v>
      </c>
      <c r="B32" s="10">
        <v>30.27</v>
      </c>
      <c r="C32" s="10">
        <v>-97.74</v>
      </c>
      <c r="D32" s="10">
        <v>4</v>
      </c>
      <c r="E32" s="10"/>
      <c r="F32" s="10"/>
      <c r="G32" s="10"/>
      <c r="H32" s="10"/>
      <c r="I32" s="10" t="s">
        <v>54</v>
      </c>
      <c r="J32" s="10" t="s">
        <v>55</v>
      </c>
      <c r="K32" s="10" t="s">
        <v>56</v>
      </c>
      <c r="L32" s="10" t="s">
        <v>110</v>
      </c>
      <c r="M32" s="10" t="s">
        <v>111</v>
      </c>
      <c r="N32" s="10" t="s">
        <v>112</v>
      </c>
      <c r="O32" s="10" t="s">
        <v>113</v>
      </c>
      <c r="P32" s="10" t="s">
        <v>114</v>
      </c>
      <c r="Q32" s="10" t="s">
        <v>115</v>
      </c>
      <c r="R32" s="10" t="s">
        <v>659</v>
      </c>
      <c r="S32" s="10" t="s">
        <v>668</v>
      </c>
      <c r="T32" s="10" t="s">
        <v>661</v>
      </c>
      <c r="U32" s="10" t="s">
        <v>117</v>
      </c>
    </row>
    <row r="33" spans="1:21" ht="46.5" x14ac:dyDescent="0.35">
      <c r="A33" s="10" t="s">
        <v>366</v>
      </c>
      <c r="B33" s="10">
        <v>36.17</v>
      </c>
      <c r="C33" s="10">
        <v>-115.14</v>
      </c>
      <c r="D33" s="10">
        <v>4</v>
      </c>
      <c r="E33" s="10"/>
      <c r="F33" s="10"/>
      <c r="G33" s="10"/>
      <c r="H33" s="10"/>
      <c r="I33" s="10" t="s">
        <v>97</v>
      </c>
      <c r="J33" s="10" t="s">
        <v>55</v>
      </c>
      <c r="K33" s="10" t="s">
        <v>98</v>
      </c>
      <c r="L33" s="10" t="s">
        <v>367</v>
      </c>
      <c r="M33" s="10" t="s">
        <v>368</v>
      </c>
      <c r="N33" s="10" t="s">
        <v>369</v>
      </c>
      <c r="O33" s="10" t="s">
        <v>146</v>
      </c>
      <c r="P33" s="10" t="s">
        <v>147</v>
      </c>
      <c r="Q33" s="10" t="s">
        <v>167</v>
      </c>
      <c r="R33" s="10" t="s">
        <v>669</v>
      </c>
      <c r="S33" s="10" t="s">
        <v>670</v>
      </c>
      <c r="T33" s="10" t="s">
        <v>671</v>
      </c>
      <c r="U33" s="10" t="s">
        <v>371</v>
      </c>
    </row>
    <row r="34" spans="1:21" ht="62" x14ac:dyDescent="0.35">
      <c r="A34" s="10" t="s">
        <v>270</v>
      </c>
      <c r="B34" s="10">
        <v>39.1</v>
      </c>
      <c r="C34" s="10">
        <v>-84.51</v>
      </c>
      <c r="D34" s="10">
        <v>3</v>
      </c>
      <c r="E34" s="10"/>
      <c r="F34" s="10"/>
      <c r="G34" s="10"/>
      <c r="H34" s="10"/>
      <c r="I34" s="10" t="s">
        <v>152</v>
      </c>
      <c r="J34" s="10" t="s">
        <v>55</v>
      </c>
      <c r="K34" s="10" t="s">
        <v>204</v>
      </c>
      <c r="L34" s="10" t="s">
        <v>271</v>
      </c>
      <c r="M34" s="10" t="s">
        <v>272</v>
      </c>
      <c r="N34" s="10" t="s">
        <v>273</v>
      </c>
      <c r="O34" s="10" t="s">
        <v>274</v>
      </c>
      <c r="P34" s="10" t="s">
        <v>275</v>
      </c>
      <c r="Q34" s="10" t="s">
        <v>185</v>
      </c>
      <c r="R34" s="10" t="s">
        <v>672</v>
      </c>
      <c r="S34" s="10" t="s">
        <v>673</v>
      </c>
      <c r="T34" s="10" t="s">
        <v>639</v>
      </c>
      <c r="U34" s="10" t="s">
        <v>277</v>
      </c>
    </row>
    <row r="35" spans="1:21" ht="62" x14ac:dyDescent="0.35">
      <c r="A35" s="10" t="s">
        <v>430</v>
      </c>
      <c r="B35" s="10">
        <v>38.97</v>
      </c>
      <c r="C35" s="10">
        <v>-94.67</v>
      </c>
      <c r="D35" s="10">
        <v>3</v>
      </c>
      <c r="E35" s="10"/>
      <c r="F35" s="10"/>
      <c r="G35" s="10"/>
      <c r="H35" s="10"/>
      <c r="I35" s="10" t="s">
        <v>152</v>
      </c>
      <c r="J35" s="10" t="s">
        <v>55</v>
      </c>
      <c r="K35" s="10" t="s">
        <v>131</v>
      </c>
      <c r="L35" s="10" t="s">
        <v>433</v>
      </c>
      <c r="M35" s="10" t="s">
        <v>434</v>
      </c>
      <c r="N35" s="10" t="s">
        <v>435</v>
      </c>
      <c r="O35" s="10" t="s">
        <v>436</v>
      </c>
      <c r="P35" s="10" t="s">
        <v>437</v>
      </c>
      <c r="Q35" s="10" t="s">
        <v>185</v>
      </c>
      <c r="R35" s="10" t="s">
        <v>674</v>
      </c>
      <c r="S35" s="10" t="s">
        <v>675</v>
      </c>
      <c r="T35" s="10" t="s">
        <v>676</v>
      </c>
      <c r="U35" s="10" t="s">
        <v>439</v>
      </c>
    </row>
    <row r="36" spans="1:21" ht="93" x14ac:dyDescent="0.35">
      <c r="A36" s="10" t="s">
        <v>203</v>
      </c>
      <c r="B36" s="10">
        <v>39.96</v>
      </c>
      <c r="C36" s="10">
        <v>-82.99</v>
      </c>
      <c r="D36" s="10">
        <v>4</v>
      </c>
      <c r="E36" s="10"/>
      <c r="F36" s="10"/>
      <c r="G36" s="10"/>
      <c r="H36" s="10"/>
      <c r="I36" s="10" t="s">
        <v>152</v>
      </c>
      <c r="J36" s="10" t="s">
        <v>55</v>
      </c>
      <c r="K36" s="10" t="s">
        <v>204</v>
      </c>
      <c r="L36" s="10" t="s">
        <v>205</v>
      </c>
      <c r="M36" s="10" t="s">
        <v>206</v>
      </c>
      <c r="N36" s="10" t="s">
        <v>207</v>
      </c>
      <c r="O36" s="10" t="s">
        <v>208</v>
      </c>
      <c r="P36" s="10" t="s">
        <v>209</v>
      </c>
      <c r="Q36" s="10" t="s">
        <v>137</v>
      </c>
      <c r="R36" s="10" t="s">
        <v>677</v>
      </c>
      <c r="S36" s="10" t="s">
        <v>678</v>
      </c>
      <c r="T36" s="10" t="s">
        <v>639</v>
      </c>
      <c r="U36" s="10" t="s">
        <v>211</v>
      </c>
    </row>
    <row r="37" spans="1:21" ht="46.5" x14ac:dyDescent="0.35">
      <c r="A37" s="10" t="s">
        <v>252</v>
      </c>
      <c r="B37" s="10">
        <v>39.770000000000003</v>
      </c>
      <c r="C37" s="10">
        <v>-86.16</v>
      </c>
      <c r="D37" s="10">
        <v>3</v>
      </c>
      <c r="E37" s="10"/>
      <c r="F37" s="10"/>
      <c r="G37" s="10"/>
      <c r="H37" s="10"/>
      <c r="I37" s="10" t="s">
        <v>152</v>
      </c>
      <c r="J37" s="10" t="s">
        <v>55</v>
      </c>
      <c r="K37" s="10" t="s">
        <v>204</v>
      </c>
      <c r="L37" s="10" t="s">
        <v>253</v>
      </c>
      <c r="M37" s="10" t="s">
        <v>254</v>
      </c>
      <c r="N37" s="10" t="s">
        <v>255</v>
      </c>
      <c r="O37" s="10" t="s">
        <v>256</v>
      </c>
      <c r="P37" s="10" t="s">
        <v>257</v>
      </c>
      <c r="Q37" s="10" t="s">
        <v>258</v>
      </c>
      <c r="R37" s="10" t="s">
        <v>679</v>
      </c>
      <c r="S37" s="10" t="s">
        <v>680</v>
      </c>
      <c r="T37" s="10" t="s">
        <v>639</v>
      </c>
      <c r="U37" s="10" t="s">
        <v>260</v>
      </c>
    </row>
    <row r="38" spans="1:21" ht="62" x14ac:dyDescent="0.35">
      <c r="A38" s="10" t="s">
        <v>140</v>
      </c>
      <c r="B38" s="10">
        <v>37.340000000000003</v>
      </c>
      <c r="C38" s="10">
        <v>-121.89</v>
      </c>
      <c r="D38" s="10">
        <v>3</v>
      </c>
      <c r="E38" s="10"/>
      <c r="F38" s="10"/>
      <c r="G38" s="10"/>
      <c r="H38" s="10"/>
      <c r="I38" s="10" t="s">
        <v>97</v>
      </c>
      <c r="J38" s="10" t="s">
        <v>55</v>
      </c>
      <c r="K38" s="10" t="s">
        <v>142</v>
      </c>
      <c r="L38" s="10" t="s">
        <v>143</v>
      </c>
      <c r="M38" s="10" t="s">
        <v>144</v>
      </c>
      <c r="N38" s="10" t="s">
        <v>145</v>
      </c>
      <c r="O38" s="10" t="s">
        <v>146</v>
      </c>
      <c r="P38" s="10" t="s">
        <v>147</v>
      </c>
      <c r="Q38" s="10" t="s">
        <v>148</v>
      </c>
      <c r="R38" s="10" t="s">
        <v>681</v>
      </c>
      <c r="S38" s="10" t="s">
        <v>682</v>
      </c>
      <c r="T38" s="10" t="s">
        <v>647</v>
      </c>
      <c r="U38" s="10" t="s">
        <v>150</v>
      </c>
    </row>
    <row r="39" spans="1:21" ht="46.5" x14ac:dyDescent="0.35">
      <c r="A39" s="10" t="s">
        <v>422</v>
      </c>
      <c r="B39" s="10">
        <v>36.85</v>
      </c>
      <c r="C39" s="10">
        <v>-76.290000000000006</v>
      </c>
      <c r="D39" s="10">
        <v>3</v>
      </c>
      <c r="E39" s="10"/>
      <c r="F39" s="10"/>
      <c r="G39" s="10"/>
      <c r="H39" s="10"/>
      <c r="I39" s="10" t="s">
        <v>54</v>
      </c>
      <c r="J39" s="10" t="s">
        <v>76</v>
      </c>
      <c r="K39" s="10" t="s">
        <v>121</v>
      </c>
      <c r="L39" s="10" t="s">
        <v>423</v>
      </c>
      <c r="M39" s="10" t="s">
        <v>424</v>
      </c>
      <c r="N39" s="10" t="s">
        <v>425</v>
      </c>
      <c r="O39" s="10" t="s">
        <v>426</v>
      </c>
      <c r="P39" s="10" t="s">
        <v>427</v>
      </c>
      <c r="Q39" s="10" t="s">
        <v>185</v>
      </c>
      <c r="R39" s="10" t="s">
        <v>642</v>
      </c>
      <c r="S39" s="10" t="s">
        <v>625</v>
      </c>
      <c r="T39" s="10" t="s">
        <v>615</v>
      </c>
      <c r="U39" s="10" t="s">
        <v>429</v>
      </c>
    </row>
    <row r="40" spans="1:21" ht="62" x14ac:dyDescent="0.35">
      <c r="A40" s="10" t="s">
        <v>456</v>
      </c>
      <c r="B40" s="10">
        <v>41.82</v>
      </c>
      <c r="C40" s="10">
        <v>-71.41</v>
      </c>
      <c r="D40" s="10">
        <v>3</v>
      </c>
      <c r="E40" s="10"/>
      <c r="F40" s="10"/>
      <c r="G40" s="10"/>
      <c r="H40" s="10"/>
      <c r="I40" s="10" t="s">
        <v>213</v>
      </c>
      <c r="J40" s="10" t="s">
        <v>76</v>
      </c>
      <c r="K40" s="10" t="s">
        <v>357</v>
      </c>
      <c r="L40" s="10" t="s">
        <v>457</v>
      </c>
      <c r="M40" s="10" t="s">
        <v>458</v>
      </c>
      <c r="N40" s="10" t="s">
        <v>459</v>
      </c>
      <c r="O40" s="10" t="s">
        <v>460</v>
      </c>
      <c r="P40" s="10" t="s">
        <v>401</v>
      </c>
      <c r="Q40" s="10" t="s">
        <v>158</v>
      </c>
      <c r="R40" s="10" t="s">
        <v>683</v>
      </c>
      <c r="S40" s="10" t="s">
        <v>684</v>
      </c>
      <c r="T40" s="10" t="s">
        <v>615</v>
      </c>
      <c r="U40" s="10" t="s">
        <v>462</v>
      </c>
    </row>
    <row r="41" spans="1:21" ht="62" x14ac:dyDescent="0.35">
      <c r="A41" s="10" t="s">
        <v>194</v>
      </c>
      <c r="B41" s="10">
        <v>30.33</v>
      </c>
      <c r="C41" s="10">
        <v>-81.66</v>
      </c>
      <c r="D41" s="10">
        <v>4</v>
      </c>
      <c r="E41" s="10"/>
      <c r="F41" s="10"/>
      <c r="G41" s="10"/>
      <c r="H41" s="10"/>
      <c r="I41" s="10" t="s">
        <v>54</v>
      </c>
      <c r="J41" s="10" t="s">
        <v>76</v>
      </c>
      <c r="K41" s="10" t="s">
        <v>87</v>
      </c>
      <c r="L41" s="10" t="s">
        <v>195</v>
      </c>
      <c r="M41" s="10" t="s">
        <v>196</v>
      </c>
      <c r="N41" s="10" t="s">
        <v>197</v>
      </c>
      <c r="O41" s="10" t="s">
        <v>198</v>
      </c>
      <c r="P41" s="10" t="s">
        <v>199</v>
      </c>
      <c r="Q41" s="10" t="s">
        <v>200</v>
      </c>
      <c r="R41" s="10" t="s">
        <v>642</v>
      </c>
      <c r="S41" s="10" t="s">
        <v>685</v>
      </c>
      <c r="T41" s="10" t="s">
        <v>644</v>
      </c>
      <c r="U41" s="10" t="s">
        <v>202</v>
      </c>
    </row>
    <row r="42" spans="1:21" ht="93" x14ac:dyDescent="0.35">
      <c r="A42" s="10" t="s">
        <v>340</v>
      </c>
      <c r="B42" s="10">
        <v>43.04</v>
      </c>
      <c r="C42" s="10">
        <v>-87.91</v>
      </c>
      <c r="D42" s="10">
        <v>2</v>
      </c>
      <c r="E42" s="10"/>
      <c r="F42" s="10"/>
      <c r="G42" s="10"/>
      <c r="H42" s="10"/>
      <c r="I42" s="10" t="s">
        <v>152</v>
      </c>
      <c r="J42" s="10" t="s">
        <v>55</v>
      </c>
      <c r="K42" s="10" t="s">
        <v>316</v>
      </c>
      <c r="L42" s="10" t="s">
        <v>341</v>
      </c>
      <c r="M42" s="10" t="s">
        <v>342</v>
      </c>
      <c r="N42" s="10" t="s">
        <v>343</v>
      </c>
      <c r="O42" s="10" t="s">
        <v>344</v>
      </c>
      <c r="P42" s="10" t="s">
        <v>345</v>
      </c>
      <c r="Q42" s="10" t="s">
        <v>158</v>
      </c>
      <c r="R42" s="10" t="s">
        <v>686</v>
      </c>
      <c r="S42" s="10" t="s">
        <v>687</v>
      </c>
      <c r="T42" s="10" t="s">
        <v>639</v>
      </c>
      <c r="U42" s="10" t="s">
        <v>347</v>
      </c>
    </row>
    <row r="43" spans="1:21" ht="62" x14ac:dyDescent="0.35">
      <c r="A43" s="10" t="s">
        <v>130</v>
      </c>
      <c r="B43" s="10">
        <v>35.47</v>
      </c>
      <c r="C43" s="10">
        <v>-97.52</v>
      </c>
      <c r="D43" s="10">
        <v>4</v>
      </c>
      <c r="E43" s="10"/>
      <c r="F43" s="10"/>
      <c r="G43" s="10"/>
      <c r="H43" s="10"/>
      <c r="I43" s="10" t="s">
        <v>54</v>
      </c>
      <c r="J43" s="10" t="s">
        <v>55</v>
      </c>
      <c r="K43" s="10" t="s">
        <v>131</v>
      </c>
      <c r="L43" s="10" t="s">
        <v>132</v>
      </c>
      <c r="M43" s="10" t="s">
        <v>133</v>
      </c>
      <c r="N43" s="10" t="s">
        <v>134</v>
      </c>
      <c r="O43" s="10" t="s">
        <v>135</v>
      </c>
      <c r="P43" s="10" t="s">
        <v>136</v>
      </c>
      <c r="Q43" s="10" t="s">
        <v>137</v>
      </c>
      <c r="R43" s="10" t="s">
        <v>688</v>
      </c>
      <c r="S43" s="10" t="s">
        <v>689</v>
      </c>
      <c r="T43" s="10" t="s">
        <v>661</v>
      </c>
      <c r="U43" s="10" t="s">
        <v>139</v>
      </c>
    </row>
    <row r="44" spans="1:21" ht="46.5" x14ac:dyDescent="0.35">
      <c r="A44" s="10" t="s">
        <v>448</v>
      </c>
      <c r="B44" s="10">
        <v>35.82</v>
      </c>
      <c r="C44" s="10">
        <v>-78.7</v>
      </c>
      <c r="D44" s="10">
        <v>3</v>
      </c>
      <c r="E44" s="10"/>
      <c r="F44" s="10"/>
      <c r="G44" s="10"/>
      <c r="H44" s="10"/>
      <c r="I44" s="10" t="s">
        <v>54</v>
      </c>
      <c r="J44" s="10" t="s">
        <v>76</v>
      </c>
      <c r="K44" s="10" t="s">
        <v>121</v>
      </c>
      <c r="L44" s="10" t="s">
        <v>449</v>
      </c>
      <c r="M44" s="10" t="s">
        <v>450</v>
      </c>
      <c r="N44" s="10" t="s">
        <v>451</v>
      </c>
      <c r="O44" s="10" t="s">
        <v>452</v>
      </c>
      <c r="P44" s="10" t="s">
        <v>453</v>
      </c>
      <c r="Q44" s="10" t="s">
        <v>72</v>
      </c>
      <c r="R44" s="10" t="s">
        <v>642</v>
      </c>
      <c r="S44" s="10" t="s">
        <v>690</v>
      </c>
      <c r="T44" s="10" t="s">
        <v>691</v>
      </c>
      <c r="U44" s="10" t="s">
        <v>455</v>
      </c>
    </row>
    <row r="45" spans="1:21" ht="62" x14ac:dyDescent="0.35">
      <c r="A45" s="10" t="s">
        <v>179</v>
      </c>
      <c r="B45" s="10">
        <v>35.15</v>
      </c>
      <c r="C45" s="10">
        <v>-90.05</v>
      </c>
      <c r="D45" s="10">
        <v>3</v>
      </c>
      <c r="E45" s="10"/>
      <c r="F45" s="10"/>
      <c r="G45" s="10"/>
      <c r="H45" s="10"/>
      <c r="I45" s="10" t="s">
        <v>54</v>
      </c>
      <c r="J45" s="10" t="s">
        <v>55</v>
      </c>
      <c r="K45" s="10" t="s">
        <v>131</v>
      </c>
      <c r="L45" s="10" t="s">
        <v>180</v>
      </c>
      <c r="M45" s="10" t="s">
        <v>181</v>
      </c>
      <c r="N45" s="10" t="s">
        <v>182</v>
      </c>
      <c r="O45" s="10" t="s">
        <v>183</v>
      </c>
      <c r="P45" s="10" t="s">
        <v>184</v>
      </c>
      <c r="Q45" s="10" t="s">
        <v>185</v>
      </c>
      <c r="R45" s="10" t="s">
        <v>692</v>
      </c>
      <c r="S45" s="10" t="s">
        <v>693</v>
      </c>
      <c r="T45" s="10" t="s">
        <v>639</v>
      </c>
      <c r="U45" s="10" t="s">
        <v>187</v>
      </c>
    </row>
    <row r="46" spans="1:21" ht="62" x14ac:dyDescent="0.35">
      <c r="A46" s="10" t="s">
        <v>118</v>
      </c>
      <c r="B46" s="10">
        <v>37.54</v>
      </c>
      <c r="C46" s="10">
        <v>-77.44</v>
      </c>
      <c r="D46" s="10">
        <v>4</v>
      </c>
      <c r="E46" s="10"/>
      <c r="F46" s="10"/>
      <c r="G46" s="10"/>
      <c r="H46" s="10"/>
      <c r="I46" s="10" t="s">
        <v>54</v>
      </c>
      <c r="J46" s="10" t="s">
        <v>76</v>
      </c>
      <c r="K46" s="10" t="s">
        <v>121</v>
      </c>
      <c r="L46" s="10" t="s">
        <v>122</v>
      </c>
      <c r="M46" s="10" t="s">
        <v>123</v>
      </c>
      <c r="N46" s="10" t="s">
        <v>124</v>
      </c>
      <c r="O46" s="10" t="s">
        <v>125</v>
      </c>
      <c r="P46" s="10" t="s">
        <v>126</v>
      </c>
      <c r="Q46" s="10" t="s">
        <v>127</v>
      </c>
      <c r="R46" s="10" t="s">
        <v>642</v>
      </c>
      <c r="S46" s="10" t="s">
        <v>694</v>
      </c>
      <c r="T46" s="10" t="s">
        <v>615</v>
      </c>
      <c r="U46" s="10" t="s">
        <v>129</v>
      </c>
    </row>
    <row r="47" spans="1:21" ht="62" x14ac:dyDescent="0.35">
      <c r="A47" s="10" t="s">
        <v>396</v>
      </c>
      <c r="B47" s="10">
        <v>29.95</v>
      </c>
      <c r="C47" s="10">
        <v>-90.07</v>
      </c>
      <c r="D47" s="10">
        <v>3</v>
      </c>
      <c r="E47" s="10"/>
      <c r="F47" s="10"/>
      <c r="G47" s="10"/>
      <c r="H47" s="10"/>
      <c r="I47" s="10" t="s">
        <v>54</v>
      </c>
      <c r="J47" s="10" t="s">
        <v>55</v>
      </c>
      <c r="K47" s="10" t="s">
        <v>131</v>
      </c>
      <c r="L47" s="10" t="s">
        <v>397</v>
      </c>
      <c r="M47" s="10" t="s">
        <v>398</v>
      </c>
      <c r="N47" s="10" t="s">
        <v>399</v>
      </c>
      <c r="O47" s="10" t="s">
        <v>400</v>
      </c>
      <c r="P47" s="10" t="s">
        <v>401</v>
      </c>
      <c r="Q47" s="10" t="s">
        <v>402</v>
      </c>
      <c r="R47" s="10" t="s">
        <v>695</v>
      </c>
      <c r="S47" s="10" t="s">
        <v>696</v>
      </c>
      <c r="T47" s="10" t="s">
        <v>661</v>
      </c>
      <c r="U47" s="10" t="s">
        <v>404</v>
      </c>
    </row>
    <row r="48" spans="1:21" ht="62" x14ac:dyDescent="0.35">
      <c r="A48" s="10" t="s">
        <v>472</v>
      </c>
      <c r="B48" s="10">
        <v>38.25</v>
      </c>
      <c r="C48" s="10">
        <v>-85.76</v>
      </c>
      <c r="D48" s="10">
        <v>3</v>
      </c>
      <c r="E48" s="10"/>
      <c r="F48" s="10"/>
      <c r="G48" s="10"/>
      <c r="H48" s="10"/>
      <c r="I48" s="10" t="s">
        <v>54</v>
      </c>
      <c r="J48" s="10" t="s">
        <v>55</v>
      </c>
      <c r="K48" s="10" t="s">
        <v>204</v>
      </c>
      <c r="L48" s="10" t="s">
        <v>473</v>
      </c>
      <c r="M48" s="10" t="s">
        <v>474</v>
      </c>
      <c r="N48" s="10" t="s">
        <v>475</v>
      </c>
      <c r="O48" s="10" t="s">
        <v>476</v>
      </c>
      <c r="P48" s="10" t="s">
        <v>477</v>
      </c>
      <c r="Q48" s="10" t="s">
        <v>185</v>
      </c>
      <c r="R48" s="10" t="s">
        <v>697</v>
      </c>
      <c r="S48" s="10" t="s">
        <v>698</v>
      </c>
      <c r="T48" s="10" t="s">
        <v>639</v>
      </c>
      <c r="U48" s="10" t="s">
        <v>479</v>
      </c>
    </row>
    <row r="49" spans="1:21" ht="46.5" x14ac:dyDescent="0.35">
      <c r="A49" s="10" t="s">
        <v>334</v>
      </c>
      <c r="B49" s="10">
        <v>40.76</v>
      </c>
      <c r="C49" s="10">
        <v>-111.89</v>
      </c>
      <c r="D49" s="10">
        <v>4</v>
      </c>
      <c r="E49" s="10"/>
      <c r="F49" s="10"/>
      <c r="G49" s="10"/>
      <c r="H49" s="10"/>
      <c r="I49" s="10" t="s">
        <v>97</v>
      </c>
      <c r="J49" s="10" t="s">
        <v>55</v>
      </c>
      <c r="K49" s="10" t="s">
        <v>98</v>
      </c>
      <c r="L49" s="10" t="s">
        <v>335</v>
      </c>
      <c r="M49" s="10" t="s">
        <v>336</v>
      </c>
      <c r="N49" s="10" t="s">
        <v>337</v>
      </c>
      <c r="O49" s="10" t="s">
        <v>146</v>
      </c>
      <c r="P49" s="10" t="s">
        <v>147</v>
      </c>
      <c r="Q49" s="10" t="s">
        <v>200</v>
      </c>
      <c r="R49" s="10" t="s">
        <v>699</v>
      </c>
      <c r="S49" s="10" t="s">
        <v>700</v>
      </c>
      <c r="T49" s="10" t="s">
        <v>639</v>
      </c>
      <c r="U49" s="10" t="s">
        <v>339</v>
      </c>
    </row>
    <row r="50" spans="1:21" ht="62" x14ac:dyDescent="0.35">
      <c r="A50" s="10" t="s">
        <v>440</v>
      </c>
      <c r="B50" s="10">
        <v>41.7637</v>
      </c>
      <c r="C50" s="10">
        <v>-72.685100000000006</v>
      </c>
      <c r="D50" s="10">
        <v>2</v>
      </c>
      <c r="E50" s="10"/>
      <c r="F50" s="10"/>
      <c r="G50" s="10"/>
      <c r="H50" s="10"/>
      <c r="I50" s="10" t="s">
        <v>213</v>
      </c>
      <c r="J50" s="10" t="s">
        <v>76</v>
      </c>
      <c r="K50" s="10" t="s">
        <v>357</v>
      </c>
      <c r="L50" s="10" t="s">
        <v>441</v>
      </c>
      <c r="M50" s="10" t="s">
        <v>442</v>
      </c>
      <c r="N50" s="10" t="s">
        <v>443</v>
      </c>
      <c r="O50" s="10" t="s">
        <v>444</v>
      </c>
      <c r="P50" s="10" t="s">
        <v>445</v>
      </c>
      <c r="Q50" s="10" t="s">
        <v>158</v>
      </c>
      <c r="R50" s="10" t="s">
        <v>701</v>
      </c>
      <c r="S50" s="10" t="s">
        <v>694</v>
      </c>
      <c r="T50" s="10" t="s">
        <v>615</v>
      </c>
      <c r="U50" s="10" t="s">
        <v>447</v>
      </c>
    </row>
    <row r="51" spans="1:21" ht="46.5" x14ac:dyDescent="0.35">
      <c r="A51" s="10" t="s">
        <v>405</v>
      </c>
      <c r="B51" s="10">
        <v>33.520000000000003</v>
      </c>
      <c r="C51" s="10">
        <v>-86.81</v>
      </c>
      <c r="D51" s="10">
        <v>3</v>
      </c>
      <c r="E51" s="10"/>
      <c r="F51" s="10"/>
      <c r="G51" s="10"/>
      <c r="H51" s="10"/>
      <c r="I51" s="10" t="s">
        <v>54</v>
      </c>
      <c r="J51" s="10" t="s">
        <v>76</v>
      </c>
      <c r="K51" s="10" t="s">
        <v>77</v>
      </c>
      <c r="L51" s="10" t="s">
        <v>406</v>
      </c>
      <c r="M51" s="10" t="s">
        <v>407</v>
      </c>
      <c r="N51" s="10" t="s">
        <v>408</v>
      </c>
      <c r="O51" s="10" t="s">
        <v>409</v>
      </c>
      <c r="P51" s="10" t="s">
        <v>410</v>
      </c>
      <c r="Q51" s="10" t="s">
        <v>228</v>
      </c>
      <c r="R51" s="10" t="s">
        <v>702</v>
      </c>
      <c r="S51" s="10" t="s">
        <v>703</v>
      </c>
      <c r="T51" s="10" t="s">
        <v>639</v>
      </c>
      <c r="U51" s="10" t="s">
        <v>412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showGridLines="0" workbookViewId="0">
      <selection activeCell="A2" sqref="A2"/>
    </sheetView>
  </sheetViews>
  <sheetFormatPr defaultRowHeight="14.5" x14ac:dyDescent="0.35"/>
  <cols>
    <col min="1" max="1" width="72.26953125" bestFit="1" customWidth="1"/>
    <col min="2" max="2" width="169.453125" bestFit="1" customWidth="1"/>
  </cols>
  <sheetData>
    <row r="1" spans="1:2" ht="15" x14ac:dyDescent="0.35">
      <c r="A1" s="1" t="s">
        <v>519</v>
      </c>
      <c r="B1" s="1" t="s">
        <v>520</v>
      </c>
    </row>
    <row r="2" spans="1:2" ht="15.5" x14ac:dyDescent="0.35">
      <c r="A2" s="12" t="s">
        <v>521</v>
      </c>
      <c r="B2" s="12" t="s">
        <v>522</v>
      </c>
    </row>
    <row r="3" spans="1:2" ht="15.5" x14ac:dyDescent="0.35">
      <c r="A3" s="13" t="s">
        <v>523</v>
      </c>
      <c r="B3" s="10" t="s">
        <v>524</v>
      </c>
    </row>
    <row r="4" spans="1:2" ht="15.5" x14ac:dyDescent="0.35">
      <c r="A4" s="12" t="s">
        <v>525</v>
      </c>
      <c r="B4" s="12" t="s">
        <v>526</v>
      </c>
    </row>
    <row r="5" spans="1:2" ht="15.5" x14ac:dyDescent="0.35">
      <c r="A5" s="13" t="s">
        <v>527</v>
      </c>
      <c r="B5" s="10" t="s">
        <v>528</v>
      </c>
    </row>
    <row r="6" spans="1:2" ht="31" x14ac:dyDescent="0.35">
      <c r="A6" s="12" t="s">
        <v>776</v>
      </c>
      <c r="B6" s="12" t="s">
        <v>529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Methodology</vt:lpstr>
      <vt:lpstr>Lens Scores</vt:lpstr>
      <vt:lpstr>Top &amp; Bottom Views</vt:lpstr>
      <vt:lpstr>All Cities Ranking</vt:lpstr>
      <vt:lpstr>Raw National Map</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Jake Gilstein</cp:lastModifiedBy>
  <dcterms:created xsi:type="dcterms:W3CDTF">2026-06-17T22:05:05Z</dcterms:created>
  <dcterms:modified xsi:type="dcterms:W3CDTF">2026-06-18T01:38:18Z</dcterms:modified>
</cp:coreProperties>
</file>